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 - Claude\kinmu-report\assets\"/>
    </mc:Choice>
  </mc:AlternateContent>
  <xr:revisionPtr revIDLastSave="0" documentId="8_{73EE66A3-37ED-4009-B25F-583694194F4E}" xr6:coauthVersionLast="47" xr6:coauthVersionMax="47" xr10:uidLastSave="{00000000-0000-0000-0000-000000000000}"/>
  <bookViews>
    <workbookView xWindow="-108" yWindow="-108" windowWidth="23256" windowHeight="13176" xr2:uid="{D300EFDF-045F-4B6F-92F7-9A5373D84CFD}"/>
  </bookViews>
  <sheets>
    <sheet name="202602" sheetId="3" r:id="rId1"/>
  </sheets>
  <definedNames>
    <definedName name="_xlnm.Print_Area" localSheetId="0">'202602'!$A$1:$AE$45</definedName>
  </definedNames>
  <calcPr calcId="191029"/>
</workbook>
</file>

<file path=xl/calcChain.xml><?xml version="1.0" encoding="utf-8"?>
<calcChain xmlns="http://schemas.openxmlformats.org/spreadsheetml/2006/main">
  <c r="N36" i="3" l="1"/>
  <c r="I36" i="3"/>
  <c r="H36" i="3"/>
  <c r="I34" i="3"/>
  <c r="J34" i="3" s="1"/>
  <c r="K34" i="3" s="1"/>
  <c r="H34" i="3"/>
  <c r="N33" i="3"/>
  <c r="I33" i="3"/>
  <c r="L33" i="3" s="1"/>
  <c r="M33" i="3" s="1"/>
  <c r="O33" i="3" s="1"/>
  <c r="H33" i="3"/>
  <c r="N32" i="3"/>
  <c r="I32" i="3"/>
  <c r="J32" i="3"/>
  <c r="K32" i="3" s="1"/>
  <c r="H32" i="3"/>
  <c r="M30" i="3"/>
  <c r="O30" i="3" s="1"/>
  <c r="K30" i="3"/>
  <c r="K31" i="3"/>
  <c r="L30" i="3"/>
  <c r="N30" i="3"/>
  <c r="L31" i="3"/>
  <c r="M31" i="3" s="1"/>
  <c r="O31" i="3" s="1"/>
  <c r="N31" i="3"/>
  <c r="N34" i="3"/>
  <c r="L34" i="3"/>
  <c r="M34" i="3" s="1"/>
  <c r="O34" i="3" s="1"/>
  <c r="H35" i="3"/>
  <c r="I35" i="3"/>
  <c r="J35" i="3" s="1"/>
  <c r="K35" i="3" s="1"/>
  <c r="N35" i="3"/>
  <c r="D38" i="3"/>
  <c r="F38" i="3"/>
  <c r="H38" i="3"/>
  <c r="I38" i="3"/>
  <c r="J38" i="3" s="1"/>
  <c r="K38" i="3" s="1"/>
  <c r="N38" i="3"/>
  <c r="I27" i="3"/>
  <c r="J27" i="3" s="1"/>
  <c r="K27" i="3" s="1"/>
  <c r="H27" i="3"/>
  <c r="N20" i="3"/>
  <c r="N21" i="3"/>
  <c r="N22" i="3"/>
  <c r="N25" i="3"/>
  <c r="N26" i="3"/>
  <c r="N27" i="3"/>
  <c r="N29" i="3"/>
  <c r="N15" i="3"/>
  <c r="K16" i="3"/>
  <c r="L16" i="3"/>
  <c r="M16" i="3" s="1"/>
  <c r="O16" i="3" s="1"/>
  <c r="N16" i="3"/>
  <c r="K17" i="3"/>
  <c r="L17" i="3"/>
  <c r="M17" i="3" s="1"/>
  <c r="O17" i="3" s="1"/>
  <c r="N17" i="3"/>
  <c r="N18" i="3"/>
  <c r="N19" i="3"/>
  <c r="I19" i="3"/>
  <c r="J19" i="3" s="1"/>
  <c r="K19" i="3" s="1"/>
  <c r="H19" i="3"/>
  <c r="I18" i="3"/>
  <c r="L18" i="3" s="1"/>
  <c r="M18" i="3" s="1"/>
  <c r="O18" i="3" s="1"/>
  <c r="H18" i="3"/>
  <c r="H15" i="3"/>
  <c r="I15" i="3"/>
  <c r="L15" i="3" s="1"/>
  <c r="M15" i="3" s="1"/>
  <c r="J15" i="3"/>
  <c r="K15" i="3" s="1"/>
  <c r="I29" i="3"/>
  <c r="L29" i="3" s="1"/>
  <c r="M29" i="3" s="1"/>
  <c r="O29" i="3" s="1"/>
  <c r="H29" i="3"/>
  <c r="I22" i="3"/>
  <c r="L22" i="3" s="1"/>
  <c r="M22" i="3" s="1"/>
  <c r="O22" i="3" s="1"/>
  <c r="H22" i="3"/>
  <c r="I21" i="3"/>
  <c r="L21" i="3" s="1"/>
  <c r="M21" i="3" s="1"/>
  <c r="O21" i="3" s="1"/>
  <c r="H21" i="3"/>
  <c r="N14" i="3"/>
  <c r="I14" i="3"/>
  <c r="J14" i="3" s="1"/>
  <c r="K14" i="3" s="1"/>
  <c r="H14" i="3"/>
  <c r="X39" i="3"/>
  <c r="V38" i="3"/>
  <c r="W38" i="3" s="1"/>
  <c r="U38" i="3"/>
  <c r="S38" i="3"/>
  <c r="Q38" i="3"/>
  <c r="V37" i="3"/>
  <c r="W37" i="3" s="1"/>
  <c r="U37" i="3"/>
  <c r="S37" i="3"/>
  <c r="Q37" i="3"/>
  <c r="V36" i="3"/>
  <c r="W36" i="3"/>
  <c r="U36" i="3"/>
  <c r="V35" i="3"/>
  <c r="W35" i="3"/>
  <c r="U35" i="3"/>
  <c r="V34" i="3"/>
  <c r="W34" i="3" s="1"/>
  <c r="U34" i="3"/>
  <c r="V33" i="3"/>
  <c r="W33" i="3" s="1"/>
  <c r="U33" i="3"/>
  <c r="V32" i="3"/>
  <c r="W32" i="3" s="1"/>
  <c r="U32" i="3"/>
  <c r="V31" i="3"/>
  <c r="W31" i="3" s="1"/>
  <c r="U31" i="3"/>
  <c r="V30" i="3"/>
  <c r="W30" i="3" s="1"/>
  <c r="U30" i="3"/>
  <c r="V29" i="3"/>
  <c r="W29" i="3" s="1"/>
  <c r="U29" i="3"/>
  <c r="V28" i="3"/>
  <c r="U28" i="3"/>
  <c r="S28" i="3"/>
  <c r="Q28" i="3"/>
  <c r="V27" i="3"/>
  <c r="U27" i="3"/>
  <c r="S27" i="3"/>
  <c r="Q27" i="3"/>
  <c r="V26" i="3"/>
  <c r="W26" i="3" s="1"/>
  <c r="U26" i="3"/>
  <c r="S26" i="3"/>
  <c r="Q26" i="3"/>
  <c r="I26" i="3"/>
  <c r="L26" i="3" s="1"/>
  <c r="M26" i="3" s="1"/>
  <c r="O26" i="3" s="1"/>
  <c r="J26" i="3"/>
  <c r="K26" i="3" s="1"/>
  <c r="H26" i="3"/>
  <c r="V25" i="3"/>
  <c r="W25" i="3" s="1"/>
  <c r="U25" i="3"/>
  <c r="S25" i="3"/>
  <c r="Q25" i="3"/>
  <c r="I25" i="3"/>
  <c r="J25" i="3"/>
  <c r="K25" i="3" s="1"/>
  <c r="H25" i="3"/>
  <c r="V24" i="3"/>
  <c r="W24" i="3"/>
  <c r="U24" i="3"/>
  <c r="S24" i="3"/>
  <c r="Q24" i="3"/>
  <c r="V23" i="3"/>
  <c r="W23" i="3" s="1"/>
  <c r="U23" i="3"/>
  <c r="S23" i="3"/>
  <c r="Q23" i="3"/>
  <c r="V22" i="3"/>
  <c r="W22" i="3" s="1"/>
  <c r="U22" i="3"/>
  <c r="S22" i="3"/>
  <c r="Q22" i="3"/>
  <c r="V21" i="3"/>
  <c r="W21" i="3"/>
  <c r="U21" i="3"/>
  <c r="S21" i="3"/>
  <c r="Q21" i="3"/>
  <c r="V20" i="3"/>
  <c r="W20" i="3" s="1"/>
  <c r="U20" i="3"/>
  <c r="S20" i="3"/>
  <c r="Q20" i="3"/>
  <c r="I20" i="3"/>
  <c r="L20" i="3" s="1"/>
  <c r="M20" i="3" s="1"/>
  <c r="O20" i="3" s="1"/>
  <c r="J20" i="3"/>
  <c r="K20" i="3" s="1"/>
  <c r="H20" i="3"/>
  <c r="V19" i="3"/>
  <c r="W19" i="3"/>
  <c r="U19" i="3"/>
  <c r="S19" i="3"/>
  <c r="Q19" i="3"/>
  <c r="V18" i="3"/>
  <c r="W18" i="3" s="1"/>
  <c r="U18" i="3"/>
  <c r="S18" i="3"/>
  <c r="Q18" i="3"/>
  <c r="V17" i="3"/>
  <c r="W17" i="3"/>
  <c r="U17" i="3"/>
  <c r="S17" i="3"/>
  <c r="Q17" i="3"/>
  <c r="V16" i="3"/>
  <c r="W16" i="3" s="1"/>
  <c r="U16" i="3"/>
  <c r="S16" i="3"/>
  <c r="Q16" i="3"/>
  <c r="V15" i="3"/>
  <c r="W15" i="3" s="1"/>
  <c r="U15" i="3"/>
  <c r="V14" i="3"/>
  <c r="W14" i="3" s="1"/>
  <c r="U14" i="3"/>
  <c r="V13" i="3"/>
  <c r="W13" i="3" s="1"/>
  <c r="U13" i="3"/>
  <c r="V12" i="3"/>
  <c r="W12" i="3"/>
  <c r="U12" i="3"/>
  <c r="V11" i="3"/>
  <c r="W11" i="3"/>
  <c r="U11" i="3"/>
  <c r="V10" i="3"/>
  <c r="W10" i="3"/>
  <c r="U10" i="3"/>
  <c r="V9" i="3"/>
  <c r="W9" i="3" s="1"/>
  <c r="U9" i="3"/>
  <c r="V8" i="3"/>
  <c r="W8" i="3" s="1"/>
  <c r="U8" i="3"/>
  <c r="A8" i="3"/>
  <c r="A9" i="3"/>
  <c r="J22" i="3"/>
  <c r="K22" i="3" s="1"/>
  <c r="L25" i="3"/>
  <c r="M25" i="3" s="1"/>
  <c r="O25" i="3" s="1"/>
  <c r="J36" i="3"/>
  <c r="K36" i="3" s="1"/>
  <c r="L32" i="3"/>
  <c r="M32" i="3" s="1"/>
  <c r="O32" i="3" s="1"/>
  <c r="L38" i="3"/>
  <c r="M38" i="3" s="1"/>
  <c r="O38" i="3" s="1"/>
  <c r="L14" i="3"/>
  <c r="M14" i="3" s="1"/>
  <c r="O14" i="3" s="1"/>
  <c r="A10" i="3"/>
  <c r="B9" i="3"/>
  <c r="AF9" i="3"/>
  <c r="B8" i="3"/>
  <c r="AF8" i="3"/>
  <c r="L36" i="3"/>
  <c r="M36" i="3"/>
  <c r="O36" i="3" s="1"/>
  <c r="B10" i="3"/>
  <c r="AF10" i="3"/>
  <c r="A11" i="3"/>
  <c r="B11" i="3"/>
  <c r="AF11" i="3"/>
  <c r="A12" i="3"/>
  <c r="A13" i="3"/>
  <c r="B12" i="3"/>
  <c r="AF12" i="3"/>
  <c r="A14" i="3"/>
  <c r="B13" i="3"/>
  <c r="AF13" i="3"/>
  <c r="B14" i="3"/>
  <c r="AF14" i="3"/>
  <c r="A15" i="3"/>
  <c r="A16" i="3"/>
  <c r="B15" i="3"/>
  <c r="AF15" i="3"/>
  <c r="A17" i="3"/>
  <c r="B16" i="3"/>
  <c r="AF16" i="3"/>
  <c r="B17" i="3"/>
  <c r="AF17" i="3"/>
  <c r="A18" i="3"/>
  <c r="B18" i="3"/>
  <c r="AF18" i="3"/>
  <c r="A19" i="3"/>
  <c r="A20" i="3"/>
  <c r="B19" i="3"/>
  <c r="AF19" i="3"/>
  <c r="A21" i="3"/>
  <c r="B20" i="3"/>
  <c r="AF20" i="3"/>
  <c r="A22" i="3"/>
  <c r="B21" i="3"/>
  <c r="AF21" i="3"/>
  <c r="A23" i="3"/>
  <c r="B22" i="3"/>
  <c r="AF22" i="3"/>
  <c r="B23" i="3"/>
  <c r="AF23" i="3"/>
  <c r="A24" i="3"/>
  <c r="A25" i="3"/>
  <c r="B24" i="3"/>
  <c r="AF24" i="3"/>
  <c r="A26" i="3"/>
  <c r="B25" i="3"/>
  <c r="AF25" i="3"/>
  <c r="A27" i="3"/>
  <c r="B26" i="3"/>
  <c r="AF26" i="3"/>
  <c r="B27" i="3"/>
  <c r="AF27" i="3"/>
  <c r="A28" i="3"/>
  <c r="B28" i="3"/>
  <c r="AF28" i="3"/>
  <c r="A29" i="3"/>
  <c r="A30" i="3"/>
  <c r="B29" i="3"/>
  <c r="AF29" i="3"/>
  <c r="A31" i="3"/>
  <c r="B30" i="3"/>
  <c r="AF30" i="3"/>
  <c r="A32" i="3"/>
  <c r="B31" i="3"/>
  <c r="AF31" i="3"/>
  <c r="A33" i="3"/>
  <c r="B32" i="3"/>
  <c r="AF32" i="3"/>
  <c r="A34" i="3"/>
  <c r="B33" i="3"/>
  <c r="AF33" i="3"/>
  <c r="B34" i="3"/>
  <c r="AF34" i="3"/>
  <c r="A35" i="3"/>
  <c r="A36" i="3"/>
  <c r="A37" i="3" s="1"/>
  <c r="B35" i="3"/>
  <c r="AF35" i="3"/>
  <c r="W39" i="3" l="1"/>
  <c r="L35" i="3"/>
  <c r="M35" i="3" s="1"/>
  <c r="O35" i="3" s="1"/>
  <c r="J33" i="3"/>
  <c r="K33" i="3" s="1"/>
  <c r="L27" i="3"/>
  <c r="M27" i="3" s="1"/>
  <c r="O27" i="3" s="1"/>
  <c r="J18" i="3"/>
  <c r="K18" i="3" s="1"/>
  <c r="J29" i="3"/>
  <c r="K29" i="3" s="1"/>
  <c r="L19" i="3"/>
  <c r="M19" i="3" s="1"/>
  <c r="O19" i="3" s="1"/>
  <c r="M39" i="3"/>
  <c r="O15" i="3"/>
  <c r="O39" i="3" s="1"/>
  <c r="J21" i="3"/>
  <c r="K21" i="3" s="1"/>
  <c r="K39" i="3" s="1"/>
  <c r="B37" i="3"/>
  <c r="AF37" i="3" s="1"/>
  <c r="A38" i="3"/>
  <c r="B38" i="3" s="1"/>
  <c r="AF38" i="3" s="1"/>
  <c r="B36" i="3"/>
  <c r="AF36" i="3" s="1"/>
  <c r="C39" i="3" l="1"/>
</calcChain>
</file>

<file path=xl/sharedStrings.xml><?xml version="1.0" encoding="utf-8"?>
<sst xmlns="http://schemas.openxmlformats.org/spreadsheetml/2006/main" count="53" uniqueCount="37">
  <si>
    <t>年</t>
  </si>
  <si>
    <t>月</t>
  </si>
  <si>
    <t>勤務時間記録表</t>
  </si>
  <si>
    <t>日付</t>
  </si>
  <si>
    <t>始業時間</t>
  </si>
  <si>
    <t>終業時間</t>
  </si>
  <si>
    <t>深夜残業</t>
  </si>
  <si>
    <t>休日出勤</t>
  </si>
  <si>
    <t>合計</t>
    <rPh sb="0" eb="2">
      <t>ゴウケイ</t>
    </rPh>
    <phoneticPr fontId="2"/>
  </si>
  <si>
    <t>稼働日</t>
    <rPh sb="0" eb="3">
      <t>カドウビ</t>
    </rPh>
    <phoneticPr fontId="2"/>
  </si>
  <si>
    <t>日</t>
    <rPh sb="0" eb="1">
      <t>ニチ</t>
    </rPh>
    <phoneticPr fontId="2"/>
  </si>
  <si>
    <t>氏名：</t>
    <phoneticPr fontId="2"/>
  </si>
  <si>
    <t>休憩時間</t>
    <rPh sb="0" eb="2">
      <t>キュウケイ</t>
    </rPh>
    <rPh sb="2" eb="4">
      <t>ジカン</t>
    </rPh>
    <phoneticPr fontId="2"/>
  </si>
  <si>
    <t>時間内</t>
    <rPh sb="0" eb="2">
      <t>ジカン</t>
    </rPh>
    <rPh sb="2" eb="3">
      <t>ナイ</t>
    </rPh>
    <phoneticPr fontId="2"/>
  </si>
  <si>
    <t>通常時間外</t>
    <rPh sb="0" eb="2">
      <t>ツウジョウ</t>
    </rPh>
    <rPh sb="2" eb="4">
      <t>ジカン</t>
    </rPh>
    <rPh sb="4" eb="5">
      <t>ガイ</t>
    </rPh>
    <phoneticPr fontId="2"/>
  </si>
  <si>
    <t>所定労働時間/日</t>
    <rPh sb="0" eb="6">
      <t>ショテイロウドウジカン</t>
    </rPh>
    <rPh sb="7" eb="8">
      <t>ニチ</t>
    </rPh>
    <phoneticPr fontId="2"/>
  </si>
  <si>
    <t>勤務時間</t>
    <rPh sb="0" eb="4">
      <t>キンムジカン</t>
    </rPh>
    <phoneticPr fontId="2"/>
  </si>
  <si>
    <t>「年」と「月」の前の数字をそれぞれ入力すると、日付と曜日が再計算されます。</t>
    <rPh sb="1" eb="2">
      <t>ネン</t>
    </rPh>
    <rPh sb="5" eb="6">
      <t>ツキ</t>
    </rPh>
    <rPh sb="8" eb="9">
      <t>マエ</t>
    </rPh>
    <rPh sb="10" eb="12">
      <t>スウジ</t>
    </rPh>
    <rPh sb="17" eb="19">
      <t>ニュウリョク</t>
    </rPh>
    <rPh sb="23" eb="25">
      <t>ヒヅケ</t>
    </rPh>
    <rPh sb="26" eb="28">
      <t>ヨウビ</t>
    </rPh>
    <rPh sb="29" eb="32">
      <t>サイケイサン</t>
    </rPh>
    <phoneticPr fontId="2"/>
  </si>
  <si>
    <t>色付きセルにのみ、入力してください。</t>
    <rPh sb="0" eb="2">
      <t>イロツ</t>
    </rPh>
    <rPh sb="9" eb="11">
      <t>ニュウリョク</t>
    </rPh>
    <phoneticPr fontId="2"/>
  </si>
  <si>
    <t>※</t>
    <phoneticPr fontId="2"/>
  </si>
  <si>
    <r>
      <t>勤 務</t>
    </r>
    <r>
      <rPr>
        <sz val="11"/>
        <rFont val="ＭＳ Ｐゴシック"/>
        <family val="2"/>
        <charset val="128"/>
      </rPr>
      <t xml:space="preserve"> </t>
    </r>
    <r>
      <rPr>
        <sz val="11"/>
        <rFont val="ＭＳ Ｐゴシック"/>
        <family val="2"/>
        <charset val="128"/>
      </rPr>
      <t>時</t>
    </r>
    <r>
      <rPr>
        <sz val="11"/>
        <rFont val="ＭＳ Ｐゴシック"/>
        <family val="2"/>
        <charset val="128"/>
      </rPr>
      <t xml:space="preserve"> </t>
    </r>
    <r>
      <rPr>
        <sz val="11"/>
        <rFont val="ＭＳ Ｐゴシック"/>
        <family val="2"/>
        <charset val="128"/>
      </rPr>
      <t>間</t>
    </r>
    <phoneticPr fontId="2"/>
  </si>
  <si>
    <t>始業時間、終業時間、休憩時間へは、24時間表記、15分刻みで入力してください。　終業時間が 24：00以降になった場合は「24：30」、「25：00」、「26：15」のような形式で入力してください。</t>
    <rPh sb="0" eb="2">
      <t>シギョウ</t>
    </rPh>
    <rPh sb="2" eb="4">
      <t>ジカン</t>
    </rPh>
    <rPh sb="5" eb="7">
      <t>シュウギョウ</t>
    </rPh>
    <rPh sb="7" eb="9">
      <t>ジカン</t>
    </rPh>
    <rPh sb="10" eb="12">
      <t>キュウケイ</t>
    </rPh>
    <rPh sb="12" eb="14">
      <t>ジカン</t>
    </rPh>
    <rPh sb="19" eb="21">
      <t>ジカン</t>
    </rPh>
    <rPh sb="21" eb="23">
      <t>ヒョウキ</t>
    </rPh>
    <rPh sb="26" eb="27">
      <t>フン</t>
    </rPh>
    <rPh sb="27" eb="28">
      <t>キザ</t>
    </rPh>
    <rPh sb="30" eb="32">
      <t>ニュウリョク</t>
    </rPh>
    <phoneticPr fontId="2"/>
  </si>
  <si>
    <t>時刻が端数の場合、始業は切り上げ、就業は切り捨てで入力してください　（例：始業が8：25の場合は8：30と入力、終業が17：47の場合は17：45と入力）。</t>
    <rPh sb="0" eb="2">
      <t>ジコク</t>
    </rPh>
    <rPh sb="3" eb="5">
      <t>ハスウ</t>
    </rPh>
    <rPh sb="6" eb="8">
      <t>バアイ</t>
    </rPh>
    <rPh sb="9" eb="11">
      <t>シギョウ</t>
    </rPh>
    <rPh sb="12" eb="13">
      <t>キ</t>
    </rPh>
    <rPh sb="14" eb="15">
      <t>ア</t>
    </rPh>
    <rPh sb="17" eb="19">
      <t>シュウギョウ</t>
    </rPh>
    <rPh sb="20" eb="21">
      <t>キ</t>
    </rPh>
    <rPh sb="22" eb="23">
      <t>ス</t>
    </rPh>
    <rPh sb="25" eb="27">
      <t>ニュウリョク</t>
    </rPh>
    <rPh sb="35" eb="36">
      <t>レイ</t>
    </rPh>
    <rPh sb="45" eb="47">
      <t>バアイ</t>
    </rPh>
    <rPh sb="53" eb="55">
      <t>ニュウリョク</t>
    </rPh>
    <rPh sb="65" eb="67">
      <t>バアイ</t>
    </rPh>
    <rPh sb="74" eb="76">
      <t>ニュウリョク</t>
    </rPh>
    <phoneticPr fontId="2"/>
  </si>
  <si>
    <t>業務内容：</t>
    <rPh sb="0" eb="2">
      <t>ギョウム</t>
    </rPh>
    <rPh sb="2" eb="4">
      <t>ナイヨウ</t>
    </rPh>
    <phoneticPr fontId="2"/>
  </si>
  <si>
    <t>就業部署：</t>
    <rPh sb="0" eb="2">
      <t>シュウギョウ</t>
    </rPh>
    <rPh sb="2" eb="4">
      <t>ブショ</t>
    </rPh>
    <phoneticPr fontId="2"/>
  </si>
  <si>
    <t>組織単位：</t>
    <rPh sb="0" eb="2">
      <t>ソシキ</t>
    </rPh>
    <rPh sb="2" eb="4">
      <t>タンイ</t>
    </rPh>
    <phoneticPr fontId="2"/>
  </si>
  <si>
    <t>派遣元：</t>
    <rPh sb="0" eb="3">
      <t>ハケンモト</t>
    </rPh>
    <phoneticPr fontId="2"/>
  </si>
  <si>
    <t>所在地：</t>
    <rPh sb="0" eb="3">
      <t>ショザイチ</t>
    </rPh>
    <phoneticPr fontId="2"/>
  </si>
  <si>
    <t>&lt;2018.12&gt;</t>
    <phoneticPr fontId="2"/>
  </si>
  <si>
    <t>承認</t>
    <rPh sb="0" eb="2">
      <t>ショウニン</t>
    </rPh>
    <phoneticPr fontId="2"/>
  </si>
  <si>
    <t>就業先：</t>
    <rPh sb="0" eb="2">
      <t>シュウギョウ</t>
    </rPh>
    <rPh sb="2" eb="3">
      <t>サキ</t>
    </rPh>
    <phoneticPr fontId="2"/>
  </si>
  <si>
    <t>-</t>
    <phoneticPr fontId="2"/>
  </si>
  <si>
    <t>（委託業務）</t>
    <rPh sb="1" eb="3">
      <t>イタク</t>
    </rPh>
    <rPh sb="3" eb="5">
      <t>ギョウム</t>
    </rPh>
    <phoneticPr fontId="2"/>
  </si>
  <si>
    <t>業務内容</t>
    <phoneticPr fontId="2"/>
  </si>
  <si>
    <t>時間外</t>
  </si>
  <si>
    <r>
      <t xml:space="preserve">休 日 </t>
    </r>
    <r>
      <rPr>
        <sz val="11"/>
        <rFont val="ＭＳ Ｐゴシック"/>
        <family val="2"/>
        <charset val="128"/>
      </rPr>
      <t>出</t>
    </r>
    <r>
      <rPr>
        <sz val="11"/>
        <rFont val="ＭＳ Ｐゴシック"/>
        <family val="2"/>
        <charset val="128"/>
      </rPr>
      <t xml:space="preserve"> </t>
    </r>
    <r>
      <rPr>
        <sz val="11"/>
        <rFont val="ＭＳ Ｐゴシック"/>
        <family val="2"/>
        <charset val="128"/>
      </rPr>
      <t>勤</t>
    </r>
  </si>
  <si>
    <t>有給
休暇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</si>
</sst>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3" formatCode="0.00_ "/>
    <numFmt numFmtId="186" formatCode="0.00_);[Red]\(0.00\)"/>
    <numFmt numFmtId="187" formatCode="d"/>
    <numFmt numFmtId="188" formatCode="aaa"/>
    <numFmt numFmtId="190" formatCode="h:mm;@"/>
    <numFmt numFmtId="192" formatCode="0.0_);[Red]\(0.0\)"/>
  </numFmts>
  <fonts count="6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2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3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7" fontId="1" fillId="0" borderId="1" xfId="0" applyNumberFormat="1" applyFont="1" applyFill="1" applyBorder="1" applyAlignment="1">
      <alignment horizontal="center" vertical="center"/>
    </xf>
    <xf numFmtId="188" fontId="1" fillId="0" borderId="2" xfId="0" quotePrefix="1" applyNumberFormat="1" applyFont="1" applyFill="1" applyBorder="1" applyAlignment="1">
      <alignment horizontal="center" vertical="center"/>
    </xf>
    <xf numFmtId="187" fontId="1" fillId="0" borderId="3" xfId="0" applyNumberFormat="1" applyFont="1" applyFill="1" applyBorder="1" applyAlignment="1">
      <alignment horizontal="center" vertical="center"/>
    </xf>
    <xf numFmtId="188" fontId="1" fillId="0" borderId="4" xfId="0" applyNumberFormat="1" applyFont="1" applyFill="1" applyBorder="1" applyAlignment="1">
      <alignment horizontal="center" vertical="center"/>
    </xf>
    <xf numFmtId="190" fontId="1" fillId="0" borderId="5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83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textRotation="255"/>
    </xf>
    <xf numFmtId="0" fontId="2" fillId="0" borderId="0" xfId="0" applyFont="1" applyFill="1" applyBorder="1" applyAlignment="1">
      <alignment horizontal="center" vertical="center" textRotation="255"/>
    </xf>
    <xf numFmtId="20" fontId="1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0" fillId="0" borderId="8" xfId="0" applyFont="1" applyBorder="1" applyAlignment="1">
      <alignment horizontal="center" vertical="center"/>
    </xf>
    <xf numFmtId="190" fontId="1" fillId="0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6" fontId="0" fillId="0" borderId="12" xfId="0" applyNumberFormat="1" applyFont="1" applyFill="1" applyBorder="1" applyAlignment="1">
      <alignment horizontal="right" vertical="center"/>
    </xf>
    <xf numFmtId="190" fontId="0" fillId="0" borderId="12" xfId="0" applyNumberFormat="1" applyFont="1" applyFill="1" applyBorder="1" applyAlignment="1">
      <alignment horizontal="right" vertical="center"/>
    </xf>
    <xf numFmtId="186" fontId="0" fillId="0" borderId="5" xfId="0" applyNumberFormat="1" applyFont="1" applyFill="1" applyBorder="1" applyAlignment="1">
      <alignment horizontal="right" vertical="center"/>
    </xf>
    <xf numFmtId="190" fontId="0" fillId="0" borderId="5" xfId="0" applyNumberFormat="1" applyFont="1" applyFill="1" applyBorder="1" applyAlignment="1">
      <alignment horizontal="right" vertical="center"/>
    </xf>
    <xf numFmtId="186" fontId="0" fillId="0" borderId="9" xfId="0" applyNumberFormat="1" applyFont="1" applyFill="1" applyBorder="1" applyAlignment="1">
      <alignment horizontal="right" vertical="center"/>
    </xf>
    <xf numFmtId="190" fontId="0" fillId="0" borderId="9" xfId="0" applyNumberFormat="1" applyFont="1" applyFill="1" applyBorder="1" applyAlignment="1">
      <alignment horizontal="right" vertical="center"/>
    </xf>
    <xf numFmtId="0" fontId="0" fillId="0" borderId="8" xfId="0" applyFont="1" applyFill="1" applyBorder="1" applyAlignment="1">
      <alignment horizontal="right" vertical="center"/>
    </xf>
    <xf numFmtId="183" fontId="1" fillId="0" borderId="8" xfId="0" applyNumberFormat="1" applyFont="1" applyFill="1" applyBorder="1" applyAlignment="1">
      <alignment horizontal="center" vertical="center"/>
    </xf>
    <xf numFmtId="183" fontId="1" fillId="0" borderId="8" xfId="0" applyNumberFormat="1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186" fontId="0" fillId="0" borderId="14" xfId="0" applyNumberFormat="1" applyFont="1" applyFill="1" applyBorder="1" applyAlignment="1">
      <alignment horizontal="right" vertical="center"/>
    </xf>
    <xf numFmtId="186" fontId="0" fillId="0" borderId="15" xfId="0" applyNumberFormat="1" applyFont="1" applyFill="1" applyBorder="1" applyAlignment="1">
      <alignment horizontal="right" vertical="center"/>
    </xf>
    <xf numFmtId="186" fontId="0" fillId="0" borderId="2" xfId="0" applyNumberFormat="1" applyFont="1" applyFill="1" applyBorder="1" applyAlignment="1">
      <alignment horizontal="right" vertical="center"/>
    </xf>
    <xf numFmtId="186" fontId="0" fillId="0" borderId="1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1" fillId="0" borderId="11" xfId="0" applyNumberFormat="1" applyFont="1" applyFill="1" applyBorder="1" applyAlignment="1">
      <alignment horizontal="center" vertical="center"/>
    </xf>
    <xf numFmtId="192" fontId="1" fillId="0" borderId="10" xfId="0" applyNumberFormat="1" applyFont="1" applyFill="1" applyBorder="1" applyAlignment="1">
      <alignment horizontal="center" vertical="center"/>
    </xf>
    <xf numFmtId="183" fontId="1" fillId="0" borderId="17" xfId="0" applyNumberFormat="1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186" fontId="0" fillId="2" borderId="20" xfId="0" applyNumberFormat="1" applyFont="1" applyFill="1" applyBorder="1" applyAlignment="1">
      <alignment horizontal="right" vertical="center"/>
    </xf>
    <xf numFmtId="186" fontId="0" fillId="2" borderId="13" xfId="0" applyNumberFormat="1" applyFont="1" applyFill="1" applyBorder="1" applyAlignment="1">
      <alignment horizontal="right" vertical="center"/>
    </xf>
    <xf numFmtId="190" fontId="1" fillId="2" borderId="12" xfId="0" applyNumberFormat="1" applyFont="1" applyFill="1" applyBorder="1" applyAlignment="1">
      <alignment horizontal="center" vertical="center"/>
    </xf>
    <xf numFmtId="190" fontId="1" fillId="2" borderId="1" xfId="0" applyNumberFormat="1" applyFont="1" applyFill="1" applyBorder="1" applyAlignment="1">
      <alignment horizontal="right" vertical="center"/>
    </xf>
    <xf numFmtId="190" fontId="1" fillId="2" borderId="5" xfId="0" applyNumberFormat="1" applyFont="1" applyFill="1" applyBorder="1" applyAlignment="1">
      <alignment horizontal="right" vertical="center"/>
    </xf>
    <xf numFmtId="190" fontId="1" fillId="2" borderId="5" xfId="0" applyNumberFormat="1" applyFont="1" applyFill="1" applyBorder="1" applyAlignment="1">
      <alignment horizontal="center" vertical="center"/>
    </xf>
    <xf numFmtId="190" fontId="1" fillId="2" borderId="21" xfId="0" applyNumberFormat="1" applyFont="1" applyFill="1" applyBorder="1" applyAlignment="1">
      <alignment horizontal="right" vertical="center"/>
    </xf>
    <xf numFmtId="190" fontId="1" fillId="2" borderId="9" xfId="0" applyNumberFormat="1" applyFont="1" applyFill="1" applyBorder="1" applyAlignment="1">
      <alignment horizontal="right" vertical="center"/>
    </xf>
    <xf numFmtId="190" fontId="1" fillId="2" borderId="9" xfId="0" applyNumberFormat="1" applyFont="1" applyFill="1" applyBorder="1" applyAlignment="1">
      <alignment horizontal="center" vertical="center"/>
    </xf>
    <xf numFmtId="190" fontId="1" fillId="2" borderId="22" xfId="0" applyNumberFormat="1" applyFont="1" applyFill="1" applyBorder="1" applyAlignment="1">
      <alignment horizontal="right" vertical="center"/>
    </xf>
    <xf numFmtId="186" fontId="0" fillId="2" borderId="12" xfId="0" applyNumberFormat="1" applyFont="1" applyFill="1" applyBorder="1" applyAlignment="1">
      <alignment horizontal="right" vertical="center"/>
    </xf>
    <xf numFmtId="190" fontId="1" fillId="2" borderId="12" xfId="0" applyNumberFormat="1" applyFont="1" applyFill="1" applyBorder="1" applyAlignment="1">
      <alignment horizontal="right" vertical="center"/>
    </xf>
    <xf numFmtId="186" fontId="0" fillId="2" borderId="5" xfId="0" applyNumberFormat="1" applyFont="1" applyFill="1" applyBorder="1" applyAlignment="1">
      <alignment horizontal="right" vertical="center"/>
    </xf>
    <xf numFmtId="186" fontId="0" fillId="2" borderId="9" xfId="0" applyNumberFormat="1" applyFont="1" applyFill="1" applyBorder="1" applyAlignment="1">
      <alignment horizontal="right" vertical="center"/>
    </xf>
    <xf numFmtId="192" fontId="1" fillId="2" borderId="20" xfId="0" applyNumberFormat="1" applyFont="1" applyFill="1" applyBorder="1" applyAlignment="1">
      <alignment horizontal="center" vertical="center"/>
    </xf>
    <xf numFmtId="192" fontId="1" fillId="2" borderId="23" xfId="0" applyNumberFormat="1" applyFont="1" applyFill="1" applyBorder="1" applyAlignment="1">
      <alignment horizontal="center" vertical="center"/>
    </xf>
    <xf numFmtId="192" fontId="1" fillId="2" borderId="24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3" xfId="0" applyFont="1" applyBorder="1" applyAlignment="1">
      <alignment horizontal="right" vertical="center"/>
    </xf>
    <xf numFmtId="0" fontId="0" fillId="0" borderId="25" xfId="0" applyFont="1" applyBorder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 shrinkToFit="1"/>
    </xf>
    <xf numFmtId="0" fontId="1" fillId="2" borderId="28" xfId="0" applyFont="1" applyFill="1" applyBorder="1" applyAlignment="1">
      <alignment vertical="center" shrinkToFit="1"/>
    </xf>
    <xf numFmtId="0" fontId="1" fillId="2" borderId="29" xfId="0" applyFont="1" applyFill="1" applyBorder="1" applyAlignment="1">
      <alignment vertical="center" shrinkToFit="1"/>
    </xf>
    <xf numFmtId="0" fontId="0" fillId="2" borderId="1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187" fontId="1" fillId="3" borderId="1" xfId="0" applyNumberFormat="1" applyFont="1" applyFill="1" applyBorder="1" applyAlignment="1">
      <alignment horizontal="center" vertical="center"/>
    </xf>
    <xf numFmtId="190" fontId="0" fillId="4" borderId="47" xfId="0" applyNumberFormat="1" applyFont="1" applyFill="1" applyBorder="1" applyAlignment="1">
      <alignment horizontal="center" vertical="center"/>
    </xf>
    <xf numFmtId="190" fontId="0" fillId="4" borderId="48" xfId="0" applyNumberFormat="1" applyFont="1" applyFill="1" applyBorder="1" applyAlignment="1">
      <alignment horizontal="center" vertical="center"/>
    </xf>
    <xf numFmtId="190" fontId="0" fillId="4" borderId="49" xfId="0" applyNumberFormat="1" applyFont="1" applyFill="1" applyBorder="1" applyAlignment="1">
      <alignment horizontal="center" vertical="center"/>
    </xf>
    <xf numFmtId="190" fontId="0" fillId="4" borderId="50" xfId="0" applyNumberFormat="1" applyFont="1" applyFill="1" applyBorder="1" applyAlignment="1">
      <alignment horizontal="center" vertical="center"/>
    </xf>
    <xf numFmtId="190" fontId="0" fillId="4" borderId="0" xfId="0" applyNumberFormat="1" applyFont="1" applyFill="1" applyBorder="1" applyAlignment="1">
      <alignment horizontal="center" vertical="center"/>
    </xf>
    <xf numFmtId="190" fontId="0" fillId="4" borderId="51" xfId="0" applyNumberFormat="1" applyFont="1" applyFill="1" applyBorder="1" applyAlignment="1">
      <alignment horizontal="center" vertical="center"/>
    </xf>
    <xf numFmtId="190" fontId="0" fillId="4" borderId="52" xfId="0" applyNumberFormat="1" applyFont="1" applyFill="1" applyBorder="1" applyAlignment="1">
      <alignment horizontal="center" vertical="center"/>
    </xf>
    <xf numFmtId="190" fontId="0" fillId="4" borderId="13" xfId="0" applyNumberFormat="1" applyFont="1" applyFill="1" applyBorder="1" applyAlignment="1">
      <alignment horizontal="center" vertical="center"/>
    </xf>
    <xf numFmtId="190" fontId="0" fillId="4" borderId="53" xfId="0" applyNumberFormat="1" applyFont="1" applyFill="1" applyBorder="1" applyAlignment="1">
      <alignment horizontal="center" vertical="center"/>
    </xf>
    <xf numFmtId="0" fontId="0" fillId="2" borderId="42" xfId="0" applyFont="1" applyFill="1" applyBorder="1" applyAlignment="1">
      <alignment horizontal="left" vertical="center" shrinkToFit="1"/>
    </xf>
    <xf numFmtId="0" fontId="1" fillId="2" borderId="43" xfId="0" applyFont="1" applyFill="1" applyBorder="1" applyAlignment="1">
      <alignment horizontal="left" vertical="center" shrinkToFit="1"/>
    </xf>
    <xf numFmtId="0" fontId="1" fillId="2" borderId="27" xfId="0" applyFont="1" applyFill="1" applyBorder="1" applyAlignment="1">
      <alignment horizontal="left" vertical="center" shrinkToFit="1"/>
    </xf>
    <xf numFmtId="0" fontId="1" fillId="2" borderId="45" xfId="0" applyFont="1" applyFill="1" applyBorder="1" applyAlignment="1">
      <alignment horizontal="left" vertical="center" shrinkToFit="1"/>
    </xf>
    <xf numFmtId="0" fontId="1" fillId="2" borderId="46" xfId="0" applyFont="1" applyFill="1" applyBorder="1" applyAlignment="1">
      <alignment horizontal="left" vertical="center" shrinkToFit="1"/>
    </xf>
    <xf numFmtId="0" fontId="1" fillId="2" borderId="29" xfId="0" applyFont="1" applyFill="1" applyBorder="1" applyAlignment="1">
      <alignment horizontal="left" vertical="center" shrinkToFit="1"/>
    </xf>
    <xf numFmtId="0" fontId="1" fillId="2" borderId="44" xfId="0" applyFont="1" applyFill="1" applyBorder="1" applyAlignment="1">
      <alignment horizontal="left" vertical="center" shrinkToFit="1"/>
    </xf>
    <xf numFmtId="0" fontId="1" fillId="2" borderId="25" xfId="0" applyFont="1" applyFill="1" applyBorder="1" applyAlignment="1">
      <alignment horizontal="left" vertical="center" shrinkToFit="1"/>
    </xf>
    <xf numFmtId="0" fontId="1" fillId="2" borderId="28" xfId="0" applyFont="1" applyFill="1" applyBorder="1" applyAlignment="1">
      <alignment horizontal="left" vertical="center" shrinkToFit="1"/>
    </xf>
    <xf numFmtId="0" fontId="0" fillId="2" borderId="44" xfId="0" applyFont="1" applyFill="1" applyBorder="1" applyAlignment="1">
      <alignment horizontal="left" vertical="center" shrinkToFit="1"/>
    </xf>
    <xf numFmtId="0" fontId="0" fillId="2" borderId="3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left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right" vertical="center"/>
    </xf>
    <xf numFmtId="183" fontId="0" fillId="0" borderId="10" xfId="0" applyNumberFormat="1" applyFont="1" applyFill="1" applyBorder="1" applyAlignment="1">
      <alignment horizontal="right" vertical="center"/>
    </xf>
    <xf numFmtId="183" fontId="0" fillId="0" borderId="32" xfId="0" applyNumberFormat="1" applyFont="1" applyFill="1" applyBorder="1" applyAlignment="1">
      <alignment horizontal="right" vertical="center"/>
    </xf>
    <xf numFmtId="0" fontId="1" fillId="0" borderId="31" xfId="0" applyFont="1" applyFill="1" applyBorder="1" applyAlignment="1">
      <alignment horizontal="left" vertical="center" shrinkToFit="1"/>
    </xf>
    <xf numFmtId="0" fontId="1" fillId="0" borderId="10" xfId="0" applyFont="1" applyFill="1" applyBorder="1" applyAlignment="1">
      <alignment horizontal="left" vertical="center" shrinkToFit="1"/>
    </xf>
    <xf numFmtId="0" fontId="1" fillId="0" borderId="18" xfId="0" applyFont="1" applyFill="1" applyBorder="1" applyAlignment="1">
      <alignment horizontal="left" vertical="center" shrinkToFit="1"/>
    </xf>
    <xf numFmtId="0" fontId="0" fillId="0" borderId="0" xfId="0" applyFont="1" applyAlignment="1">
      <alignment horizontal="center" vertical="center" shrinkToFit="1"/>
    </xf>
    <xf numFmtId="0" fontId="5" fillId="2" borderId="13" xfId="0" applyFont="1" applyFill="1" applyBorder="1" applyAlignment="1">
      <alignment horizontal="left" vertical="center" shrinkToFit="1"/>
    </xf>
    <xf numFmtId="0" fontId="0" fillId="2" borderId="13" xfId="0" applyFont="1" applyFill="1" applyBorder="1" applyAlignment="1">
      <alignment horizontal="left" vertical="center" wrapText="1" shrinkToFit="1"/>
    </xf>
    <xf numFmtId="0" fontId="0" fillId="2" borderId="3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15240</xdr:colOff>
      <xdr:row>39</xdr:row>
      <xdr:rowOff>91440</xdr:rowOff>
    </xdr:from>
    <xdr:to>
      <xdr:col>30</xdr:col>
      <xdr:colOff>662940</xdr:colOff>
      <xdr:row>44</xdr:row>
      <xdr:rowOff>45720</xdr:rowOff>
    </xdr:to>
    <xdr:grpSp>
      <xdr:nvGrpSpPr>
        <xdr:cNvPr id="3428" name="グループ化 5">
          <a:extLst>
            <a:ext uri="{FF2B5EF4-FFF2-40B4-BE49-F238E27FC236}">
              <a16:creationId xmlns:a16="http://schemas.microsoft.com/office/drawing/2014/main" id="{1B66790F-9004-7A9B-A6D7-4680E63711C3}"/>
            </a:ext>
          </a:extLst>
        </xdr:cNvPr>
        <xdr:cNvGrpSpPr>
          <a:grpSpLocks/>
        </xdr:cNvGrpSpPr>
      </xdr:nvGrpSpPr>
      <xdr:grpSpPr bwMode="auto">
        <a:xfrm>
          <a:off x="10977154" y="8876211"/>
          <a:ext cx="2128157" cy="1031966"/>
          <a:chOff x="11737398" y="8956874"/>
          <a:chExt cx="1979823" cy="1042078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2A150593-A484-891B-1977-1406259910D5}"/>
              </a:ext>
            </a:extLst>
          </xdr:cNvPr>
          <xdr:cNvSpPr txBox="1"/>
        </xdr:nvSpPr>
        <xdr:spPr>
          <a:xfrm>
            <a:off x="11737398" y="8956874"/>
            <a:ext cx="993460" cy="2681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spAutoFit/>
          </a:bodyPr>
          <a:lstStyle/>
          <a:p>
            <a:pPr algn="ctr"/>
            <a:r>
              <a:rPr kumimoji="1" lang="ja-JP" altLang="en-US" sz="1050"/>
              <a:t>所属長印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79B0C0D1-9B0D-80E2-702A-3D5D437C34BA}"/>
              </a:ext>
            </a:extLst>
          </xdr:cNvPr>
          <xdr:cNvSpPr txBox="1"/>
        </xdr:nvSpPr>
        <xdr:spPr>
          <a:xfrm>
            <a:off x="12723761" y="8956874"/>
            <a:ext cx="993460" cy="2681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spAutoFit/>
          </a:bodyPr>
          <a:lstStyle/>
          <a:p>
            <a:pPr algn="ctr"/>
            <a:r>
              <a:rPr kumimoji="1" lang="ja-JP" altLang="en-US" sz="1050"/>
              <a:t>本人印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FCF65590-8918-5A22-CD76-77FDB86ECD76}"/>
              </a:ext>
            </a:extLst>
          </xdr:cNvPr>
          <xdr:cNvSpPr txBox="1"/>
        </xdr:nvSpPr>
        <xdr:spPr>
          <a:xfrm>
            <a:off x="11737398" y="9225056"/>
            <a:ext cx="993460" cy="77389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/>
          <a:p>
            <a:pPr algn="ctr"/>
            <a:endParaRPr kumimoji="1" lang="ja-JP" altLang="en-US" sz="1050"/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FB080175-9851-74DE-B515-8DD472A3D031}"/>
              </a:ext>
            </a:extLst>
          </xdr:cNvPr>
          <xdr:cNvSpPr txBox="1"/>
        </xdr:nvSpPr>
        <xdr:spPr>
          <a:xfrm>
            <a:off x="12723761" y="9225056"/>
            <a:ext cx="993460" cy="77389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/>
          <a:p>
            <a:pPr algn="ctr"/>
            <a:r>
              <a:rPr kumimoji="1" lang="ja-JP" altLang="en-US" sz="1050"/>
              <a:t/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0BA5-53BF-43DF-B4EF-60AF63A86774}">
  <sheetPr>
    <pageSetUpPr fitToPage="1"/>
  </sheetPr>
  <dimension ref="A1:AF46"/>
  <sheetViews>
    <sheetView tabSelected="1" view="pageBreakPreview" zoomScale="70" zoomScaleNormal="100" zoomScaleSheetLayoutView="70" workbookViewId="0">
      <pane ySplit="7" topLeftCell="A8" activePane="bottomLeft" state="frozen"/>
      <selection pane="bottomLeft" activeCell="M14" sqref="M14:M36"/>
    </sheetView>
  </sheetViews>
  <sheetFormatPr defaultColWidth="9" defaultRowHeight="13.2"/>
  <cols>
    <col min="1" max="1" width="5.33203125" style="1" customWidth="1"/>
    <col min="2" max="2" width="5.21875" style="1" bestFit="1" customWidth="1"/>
    <col min="3" max="3" width="10" style="1" customWidth="1"/>
    <col min="4" max="4" width="10" style="1" hidden="1" customWidth="1"/>
    <col min="5" max="5" width="10" style="1" customWidth="1"/>
    <col min="6" max="6" width="10" style="1" hidden="1" customWidth="1"/>
    <col min="7" max="7" width="10" style="1" customWidth="1"/>
    <col min="8" max="10" width="10" style="1" hidden="1" customWidth="1"/>
    <col min="11" max="11" width="10" style="1" customWidth="1"/>
    <col min="12" max="12" width="10" style="1" hidden="1" customWidth="1"/>
    <col min="13" max="13" width="10" style="1" customWidth="1"/>
    <col min="14" max="14" width="10" style="1" hidden="1" customWidth="1"/>
    <col min="15" max="16" width="10" style="1" customWidth="1"/>
    <col min="17" max="17" width="10" style="1" hidden="1" customWidth="1"/>
    <col min="18" max="18" width="10" style="1" customWidth="1"/>
    <col min="19" max="19" width="10" style="1" hidden="1" customWidth="1"/>
    <col min="20" max="20" width="10" style="1" customWidth="1"/>
    <col min="21" max="22" width="10" style="1" hidden="1" customWidth="1"/>
    <col min="23" max="23" width="9.88671875" style="1" customWidth="1"/>
    <col min="24" max="24" width="6.109375" style="1" customWidth="1"/>
    <col min="25" max="31" width="10.77734375" style="1" customWidth="1"/>
    <col min="32" max="16384" width="9" style="1"/>
  </cols>
  <sheetData>
    <row r="1" spans="1:32">
      <c r="AD1" s="40"/>
      <c r="AE1" s="40" t="s">
        <v>28</v>
      </c>
    </row>
    <row r="2" spans="1:32" s="2" customFormat="1" ht="18.75" customHeight="1" thickBot="1">
      <c r="A2" s="104">
        <v>2026</v>
      </c>
      <c r="B2" s="104"/>
      <c r="C2" s="72" t="s">
        <v>0</v>
      </c>
      <c r="D2" s="72"/>
      <c r="E2" s="73">
        <v>5</v>
      </c>
      <c r="F2" s="72"/>
      <c r="G2" s="72" t="s">
        <v>1</v>
      </c>
      <c r="H2" s="72"/>
      <c r="I2" s="72"/>
      <c r="J2" s="72"/>
      <c r="K2" s="72" t="s">
        <v>2</v>
      </c>
      <c r="L2" s="35"/>
      <c r="M2" s="72"/>
      <c r="O2" s="67" t="s">
        <v>30</v>
      </c>
      <c r="P2" s="101"/>
      <c r="Q2" s="101"/>
      <c r="R2" s="101"/>
      <c r="S2" s="101"/>
      <c r="T2" s="101"/>
      <c r="U2" s="101"/>
      <c r="V2" s="101"/>
      <c r="W2" s="101"/>
      <c r="X2" s="101"/>
      <c r="Z2" s="70" t="s">
        <v>24</v>
      </c>
      <c r="AA2" s="101"/>
      <c r="AB2" s="101"/>
      <c r="AC2" s="101"/>
      <c r="AD2" s="101"/>
      <c r="AE2" s="101"/>
    </row>
    <row r="3" spans="1:32" ht="15" thickTop="1">
      <c r="D3" s="2"/>
      <c r="J3" s="17"/>
      <c r="O3" s="68" t="s">
        <v>25</v>
      </c>
      <c r="P3" s="101" t="s">
        <v>31</v>
      </c>
      <c r="Q3" s="101"/>
      <c r="R3" s="101"/>
      <c r="S3" s="101"/>
      <c r="T3" s="101"/>
      <c r="U3" s="101"/>
      <c r="V3" s="101"/>
      <c r="W3" s="101"/>
      <c r="X3" s="101"/>
      <c r="Z3" s="70" t="s">
        <v>23</v>
      </c>
      <c r="AA3" s="101" t="s">
        <v>32</v>
      </c>
      <c r="AB3" s="101"/>
      <c r="AC3" s="101"/>
      <c r="AD3" s="101"/>
      <c r="AE3" s="101"/>
    </row>
    <row r="4" spans="1:32" ht="22.5" customHeight="1">
      <c r="A4" s="102" t="s">
        <v>26</v>
      </c>
      <c r="B4" s="103"/>
      <c r="C4" s="69"/>
      <c r="O4" s="68" t="s">
        <v>27</v>
      </c>
      <c r="P4" s="123"/>
      <c r="Q4" s="101"/>
      <c r="R4" s="101"/>
      <c r="S4" s="101"/>
      <c r="T4" s="101"/>
      <c r="U4" s="101"/>
      <c r="V4" s="101"/>
      <c r="W4" s="101"/>
      <c r="X4" s="101"/>
      <c r="Z4" s="71" t="s">
        <v>11</v>
      </c>
      <c r="AA4" s="122"/>
      <c r="AB4" s="122"/>
      <c r="AC4" s="122"/>
      <c r="AD4" s="122"/>
      <c r="AE4" s="122"/>
    </row>
    <row r="5" spans="1:32" ht="9.75" customHeight="1" thickBot="1"/>
    <row r="6" spans="1:32" s="3" customFormat="1" ht="16.5" customHeight="1" thickBot="1">
      <c r="A6" s="105" t="s">
        <v>3</v>
      </c>
      <c r="B6" s="106"/>
      <c r="C6" s="109" t="s">
        <v>20</v>
      </c>
      <c r="D6" s="110"/>
      <c r="E6" s="110"/>
      <c r="F6" s="110"/>
      <c r="G6" s="110"/>
      <c r="H6" s="21"/>
      <c r="I6" s="21"/>
      <c r="J6" s="21"/>
      <c r="K6" s="111"/>
      <c r="L6" s="110"/>
      <c r="M6" s="110"/>
      <c r="N6" s="110"/>
      <c r="O6" s="110"/>
      <c r="P6" s="109" t="s">
        <v>35</v>
      </c>
      <c r="Q6" s="110"/>
      <c r="R6" s="110"/>
      <c r="S6" s="110"/>
      <c r="T6" s="110"/>
      <c r="U6" s="110"/>
      <c r="V6" s="110"/>
      <c r="W6" s="112"/>
      <c r="X6" s="99" t="s">
        <v>36</v>
      </c>
      <c r="Y6" s="124" t="s">
        <v>33</v>
      </c>
      <c r="Z6" s="125"/>
      <c r="AA6" s="125"/>
      <c r="AB6" s="125"/>
      <c r="AC6" s="125"/>
      <c r="AD6" s="126"/>
      <c r="AE6" s="129" t="s">
        <v>29</v>
      </c>
    </row>
    <row r="7" spans="1:32" s="3" customFormat="1" ht="16.5" customHeight="1" thickBot="1">
      <c r="A7" s="107"/>
      <c r="B7" s="108"/>
      <c r="C7" s="45" t="s">
        <v>4</v>
      </c>
      <c r="D7" s="45" t="s">
        <v>4</v>
      </c>
      <c r="E7" s="46" t="s">
        <v>5</v>
      </c>
      <c r="F7" s="46" t="s">
        <v>5</v>
      </c>
      <c r="G7" s="47" t="s">
        <v>12</v>
      </c>
      <c r="H7" s="9" t="s">
        <v>12</v>
      </c>
      <c r="I7" s="9" t="s">
        <v>16</v>
      </c>
      <c r="J7" s="19" t="s">
        <v>13</v>
      </c>
      <c r="K7" s="22" t="s">
        <v>13</v>
      </c>
      <c r="L7" s="22" t="s">
        <v>14</v>
      </c>
      <c r="M7" s="23" t="s">
        <v>34</v>
      </c>
      <c r="N7" s="24" t="s">
        <v>6</v>
      </c>
      <c r="O7" s="23" t="s">
        <v>6</v>
      </c>
      <c r="P7" s="77" t="s">
        <v>4</v>
      </c>
      <c r="Q7" s="45" t="s">
        <v>4</v>
      </c>
      <c r="R7" s="47" t="s">
        <v>5</v>
      </c>
      <c r="S7" s="46" t="s">
        <v>5</v>
      </c>
      <c r="T7" s="47" t="s">
        <v>12</v>
      </c>
      <c r="U7" s="9" t="s">
        <v>12</v>
      </c>
      <c r="V7" s="9" t="s">
        <v>16</v>
      </c>
      <c r="W7" s="78" t="s">
        <v>7</v>
      </c>
      <c r="X7" s="100"/>
      <c r="Y7" s="127"/>
      <c r="Z7" s="128"/>
      <c r="AA7" s="128"/>
      <c r="AB7" s="128"/>
      <c r="AC7" s="128"/>
      <c r="AD7" s="100"/>
      <c r="AE7" s="130"/>
    </row>
    <row r="8" spans="1:32" ht="18" customHeight="1" thickBot="1">
      <c r="A8" s="6">
        <f>DATE(A2,E2,1)</f>
        <v>46143</v>
      </c>
      <c r="B8" s="7">
        <f>A8</f>
        <v>46143</v>
      </c>
      <c r="C8" s="51"/>
      <c r="D8" s="48"/>
      <c r="E8" s="52"/>
      <c r="F8" s="49"/>
      <c r="G8" s="53"/>
      <c r="H8" s="27"/>
      <c r="I8" s="28"/>
      <c r="J8" s="8"/>
      <c r="K8" s="27"/>
      <c r="L8" s="8"/>
      <c r="M8" s="27"/>
      <c r="N8" s="8"/>
      <c r="O8" s="36"/>
      <c r="P8" s="57"/>
      <c r="Q8" s="58"/>
      <c r="R8" s="59"/>
      <c r="S8" s="58"/>
      <c r="T8" s="50"/>
      <c r="U8" s="25" t="str">
        <f>IF(T8="","",T8/"01:00:00")</f>
        <v/>
      </c>
      <c r="V8" s="26" t="str">
        <f>IF(P8="","",R8-P8-T8)</f>
        <v/>
      </c>
      <c r="W8" s="37" t="str">
        <f>IF(V8="","",V8/"01:00:00")</f>
        <v/>
      </c>
      <c r="X8" s="62"/>
      <c r="Y8" s="89"/>
      <c r="Z8" s="90"/>
      <c r="AA8" s="90"/>
      <c r="AB8" s="90"/>
      <c r="AC8" s="90"/>
      <c r="AD8" s="91"/>
      <c r="AE8" s="74"/>
      <c r="AF8" s="1" t="str">
        <f>IF(AND(B8&lt;&gt;"土",B8&lt;&gt;"日",OR(AND(C8&gt;0,C8&lt;24),X8&gt;0)),"稼働日","")</f>
        <v/>
      </c>
    </row>
    <row r="9" spans="1:32" ht="18" customHeight="1" thickBot="1">
      <c r="A9" s="4">
        <f>A8+1</f>
        <v>46144</v>
      </c>
      <c r="B9" s="5">
        <f>A9</f>
        <v>46144</v>
      </c>
      <c r="C9" s="80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2"/>
      <c r="P9" s="51"/>
      <c r="Q9" s="60"/>
      <c r="R9" s="52"/>
      <c r="S9" s="60"/>
      <c r="T9" s="53"/>
      <c r="U9" s="27" t="str">
        <f t="shared" ref="U9:U38" si="0">IF(T9="","",T9/"01:00:00")</f>
        <v/>
      </c>
      <c r="V9" s="28" t="str">
        <f t="shared" ref="V9:V38" si="1">IF(P9="","",R9-P9-T9)</f>
        <v/>
      </c>
      <c r="W9" s="38" t="str">
        <f t="shared" ref="W9:W38" si="2">IF(V9="","",V9/"01:00:00")</f>
        <v/>
      </c>
      <c r="X9" s="63"/>
      <c r="Y9" s="89"/>
      <c r="Z9" s="90"/>
      <c r="AA9" s="90"/>
      <c r="AB9" s="90"/>
      <c r="AC9" s="90"/>
      <c r="AD9" s="91"/>
      <c r="AE9" s="75"/>
      <c r="AF9" s="1" t="str">
        <f t="shared" ref="AF9:AF38" si="3">IF(AND(B9&lt;&gt;"土",B9&lt;&gt;"日",OR(AND(C9&gt;0,C9&lt;24),X9&gt;0)),"稼働日","")</f>
        <v/>
      </c>
    </row>
    <row r="10" spans="1:32" ht="18" customHeight="1">
      <c r="A10" s="4">
        <f>A9+1</f>
        <v>46145</v>
      </c>
      <c r="B10" s="5">
        <f t="shared" ref="B10:B38" si="4">A10</f>
        <v>46145</v>
      </c>
      <c r="C10" s="83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5"/>
      <c r="P10" s="51"/>
      <c r="Q10" s="60"/>
      <c r="R10" s="52"/>
      <c r="S10" s="60"/>
      <c r="T10" s="53"/>
      <c r="U10" s="27" t="str">
        <f t="shared" si="0"/>
        <v/>
      </c>
      <c r="V10" s="28" t="str">
        <f t="shared" si="1"/>
        <v/>
      </c>
      <c r="W10" s="38" t="str">
        <f t="shared" si="2"/>
        <v/>
      </c>
      <c r="X10" s="63"/>
      <c r="Y10" s="89"/>
      <c r="Z10" s="90"/>
      <c r="AA10" s="90"/>
      <c r="AB10" s="90"/>
      <c r="AC10" s="90"/>
      <c r="AD10" s="91"/>
      <c r="AE10" s="75"/>
      <c r="AF10" s="1" t="str">
        <f t="shared" si="3"/>
        <v/>
      </c>
    </row>
    <row r="11" spans="1:32" ht="18" customHeight="1">
      <c r="A11" s="4">
        <f t="shared" ref="A11:A23" si="5">A10+1</f>
        <v>46146</v>
      </c>
      <c r="B11" s="5">
        <f t="shared" si="4"/>
        <v>46146</v>
      </c>
      <c r="C11" s="83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5"/>
      <c r="P11" s="51"/>
      <c r="Q11" s="60"/>
      <c r="R11" s="52"/>
      <c r="S11" s="60"/>
      <c r="T11" s="53"/>
      <c r="U11" s="27" t="str">
        <f t="shared" si="0"/>
        <v/>
      </c>
      <c r="V11" s="28" t="str">
        <f t="shared" si="1"/>
        <v/>
      </c>
      <c r="W11" s="38" t="str">
        <f t="shared" si="2"/>
        <v/>
      </c>
      <c r="X11" s="63"/>
      <c r="Y11" s="98"/>
      <c r="Z11" s="96"/>
      <c r="AA11" s="96"/>
      <c r="AB11" s="96"/>
      <c r="AC11" s="96"/>
      <c r="AD11" s="97"/>
      <c r="AE11" s="75"/>
      <c r="AF11" s="1" t="str">
        <f>IF(AND(B11&lt;&gt;"土",B11&lt;&gt;"日",OR(AND(C11&gt;0,C11&lt;24),X11&gt;0)),"稼働日","")</f>
        <v/>
      </c>
    </row>
    <row r="12" spans="1:32" ht="18" customHeight="1" thickBot="1">
      <c r="A12" s="4">
        <f t="shared" si="5"/>
        <v>46147</v>
      </c>
      <c r="B12" s="5">
        <f t="shared" si="4"/>
        <v>46147</v>
      </c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5"/>
      <c r="P12" s="51"/>
      <c r="Q12" s="60"/>
      <c r="R12" s="52"/>
      <c r="S12" s="60"/>
      <c r="T12" s="53"/>
      <c r="U12" s="27" t="str">
        <f t="shared" si="0"/>
        <v/>
      </c>
      <c r="V12" s="28" t="str">
        <f t="shared" si="1"/>
        <v/>
      </c>
      <c r="W12" s="38" t="str">
        <f t="shared" si="2"/>
        <v/>
      </c>
      <c r="X12" s="63"/>
      <c r="Y12" s="98"/>
      <c r="Z12" s="96"/>
      <c r="AA12" s="96"/>
      <c r="AB12" s="96"/>
      <c r="AC12" s="96"/>
      <c r="AD12" s="97"/>
      <c r="AE12" s="75"/>
      <c r="AF12" s="1" t="str">
        <f t="shared" si="3"/>
        <v/>
      </c>
    </row>
    <row r="13" spans="1:32" ht="18" customHeight="1" thickBot="1">
      <c r="A13" s="4">
        <f t="shared" si="5"/>
        <v>46148</v>
      </c>
      <c r="B13" s="5">
        <f t="shared" si="4"/>
        <v>46148</v>
      </c>
      <c r="C13" s="86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8"/>
      <c r="P13" s="51"/>
      <c r="Q13" s="60"/>
      <c r="R13" s="52"/>
      <c r="S13" s="60"/>
      <c r="T13" s="53"/>
      <c r="U13" s="27" t="str">
        <f t="shared" si="0"/>
        <v/>
      </c>
      <c r="V13" s="28" t="str">
        <f t="shared" si="1"/>
        <v/>
      </c>
      <c r="W13" s="38" t="str">
        <f t="shared" si="2"/>
        <v/>
      </c>
      <c r="X13" s="63"/>
      <c r="Y13" s="89"/>
      <c r="Z13" s="90"/>
      <c r="AA13" s="90"/>
      <c r="AB13" s="90"/>
      <c r="AC13" s="90"/>
      <c r="AD13" s="91"/>
      <c r="AE13" s="75"/>
      <c r="AF13" s="1" t="str">
        <f t="shared" si="3"/>
        <v/>
      </c>
    </row>
    <row r="14" spans="1:32" ht="18" customHeight="1" thickBot="1">
      <c r="A14" s="4">
        <f t="shared" si="5"/>
        <v>46149</v>
      </c>
      <c r="B14" s="5">
        <f t="shared" si="4"/>
        <v>46149</v>
      </c>
      <c r="C14" s="51"/>
      <c r="D14" s="48"/>
      <c r="E14" s="52"/>
      <c r="F14" s="49"/>
      <c r="G14" s="53"/>
      <c r="H14" s="27" t="str">
        <f>IF(G14="","",G14/"01:00:00")</f>
        <v/>
      </c>
      <c r="I14" s="28" t="str">
        <f>IF(C14="","",E14-C14-G14)</f>
        <v/>
      </c>
      <c r="J14" s="8" t="str">
        <f>IF(I14="","",IF(I14&gt;$C$46,$C$46,I14))</f>
        <v/>
      </c>
      <c r="K14" s="27" t="str">
        <f t="shared" ref="K14" si="6">IF(J14="","",J14/"01:00:00")</f>
        <v/>
      </c>
      <c r="L14" s="8" t="str">
        <f>IF(OR(I14&lt;=$C$46,I14=""),"",I14-J14-N14)</f>
        <v/>
      </c>
      <c r="M14" s="27" t="str">
        <f t="shared" ref="M14" si="7">IF(L14="","",L14/"01:00:00")</f>
        <v/>
      </c>
      <c r="N14" s="8">
        <f>5/24-MIN(C14,5/24)+MAX((E14&lt;C14)+E14,22/24)-22/24</f>
        <v>0</v>
      </c>
      <c r="O14" s="36" t="str">
        <f t="shared" ref="O14" si="8">IF(M14="","",N14/"01:00:00")</f>
        <v/>
      </c>
      <c r="P14" s="51"/>
      <c r="Q14" s="60"/>
      <c r="R14" s="52"/>
      <c r="S14" s="60"/>
      <c r="T14" s="53"/>
      <c r="U14" s="27" t="str">
        <f t="shared" si="0"/>
        <v/>
      </c>
      <c r="V14" s="28" t="str">
        <f t="shared" si="1"/>
        <v/>
      </c>
      <c r="W14" s="38" t="str">
        <f t="shared" si="2"/>
        <v/>
      </c>
      <c r="X14" s="63"/>
      <c r="Y14" s="89"/>
      <c r="Z14" s="90"/>
      <c r="AA14" s="90"/>
      <c r="AB14" s="90"/>
      <c r="AC14" s="90"/>
      <c r="AD14" s="91"/>
      <c r="AE14" s="75"/>
      <c r="AF14" s="1" t="str">
        <f t="shared" si="3"/>
        <v/>
      </c>
    </row>
    <row r="15" spans="1:32" ht="18" customHeight="1" thickBot="1">
      <c r="A15" s="4">
        <f t="shared" si="5"/>
        <v>46150</v>
      </c>
      <c r="B15" s="5">
        <f t="shared" si="4"/>
        <v>46150</v>
      </c>
      <c r="C15" s="51"/>
      <c r="D15" s="48"/>
      <c r="E15" s="52"/>
      <c r="F15" s="49"/>
      <c r="G15" s="53"/>
      <c r="H15" s="27" t="str">
        <f>IF(G15="","",G15/"01:00:00")</f>
        <v/>
      </c>
      <c r="I15" s="28" t="str">
        <f>IF(C15="","",E15-C15-G15)</f>
        <v/>
      </c>
      <c r="J15" s="8" t="str">
        <f>IF(I15="","",IF(I15&gt;$C$46,$C$46,I15))</f>
        <v/>
      </c>
      <c r="K15" s="27" t="str">
        <f t="shared" ref="K15:K20" si="9">IF(J15="","",J15/"01:00:00")</f>
        <v/>
      </c>
      <c r="L15" s="8" t="str">
        <f t="shared" ref="L15:L20" si="10">IF(OR(I15&lt;=$C$46,I15=""),"",I15-J15-N15)</f>
        <v/>
      </c>
      <c r="M15" s="27" t="str">
        <f t="shared" ref="M15:M20" si="11">IF(L15="","",L15/"01:00:00")</f>
        <v/>
      </c>
      <c r="N15" s="8">
        <f t="shared" ref="N15:N20" si="12">5/24-MIN(C15,5/24)+MAX((E15&lt;C15)+E15,22/24)-22/24</f>
        <v>0</v>
      </c>
      <c r="O15" s="36" t="str">
        <f t="shared" ref="O15:O20" si="13">IF(M15="","",N15/"01:00:00")</f>
        <v/>
      </c>
      <c r="P15" s="51"/>
      <c r="Q15" s="60"/>
      <c r="R15" s="52"/>
      <c r="S15" s="60"/>
      <c r="T15" s="53"/>
      <c r="U15" s="27" t="str">
        <f t="shared" si="0"/>
        <v/>
      </c>
      <c r="V15" s="28" t="str">
        <f t="shared" si="1"/>
        <v/>
      </c>
      <c r="W15" s="38" t="str">
        <f t="shared" si="2"/>
        <v/>
      </c>
      <c r="X15" s="63"/>
      <c r="Y15" s="89"/>
      <c r="Z15" s="90"/>
      <c r="AA15" s="90"/>
      <c r="AB15" s="90"/>
      <c r="AC15" s="90"/>
      <c r="AD15" s="91"/>
      <c r="AE15" s="75"/>
      <c r="AF15" s="1" t="str">
        <f t="shared" si="3"/>
        <v/>
      </c>
    </row>
    <row r="16" spans="1:32" ht="18" customHeight="1" thickBot="1">
      <c r="A16" s="4">
        <f t="shared" si="5"/>
        <v>46151</v>
      </c>
      <c r="B16" s="5">
        <f t="shared" si="4"/>
        <v>46151</v>
      </c>
      <c r="C16" s="51"/>
      <c r="D16" s="48"/>
      <c r="E16" s="52"/>
      <c r="F16" s="49"/>
      <c r="G16" s="53"/>
      <c r="H16" s="27"/>
      <c r="I16" s="28"/>
      <c r="J16" s="8"/>
      <c r="K16" s="27" t="str">
        <f t="shared" si="9"/>
        <v/>
      </c>
      <c r="L16" s="8" t="str">
        <f t="shared" si="10"/>
        <v/>
      </c>
      <c r="M16" s="27" t="str">
        <f t="shared" si="11"/>
        <v/>
      </c>
      <c r="N16" s="8">
        <f t="shared" si="12"/>
        <v>0</v>
      </c>
      <c r="O16" s="36" t="str">
        <f t="shared" si="13"/>
        <v/>
      </c>
      <c r="P16" s="51"/>
      <c r="Q16" s="60" t="str">
        <f t="shared" ref="Q16:Q38" si="14">IF(P16="","",P16/"01:00:00")</f>
        <v/>
      </c>
      <c r="R16" s="52"/>
      <c r="S16" s="60" t="str">
        <f t="shared" ref="S16:S38" si="15">IF(R16="","",R16/"01:00:00")</f>
        <v/>
      </c>
      <c r="T16" s="53"/>
      <c r="U16" s="27" t="str">
        <f t="shared" si="0"/>
        <v/>
      </c>
      <c r="V16" s="28" t="str">
        <f t="shared" si="1"/>
        <v/>
      </c>
      <c r="W16" s="38" t="str">
        <f t="shared" si="2"/>
        <v/>
      </c>
      <c r="X16" s="63"/>
      <c r="Y16" s="89"/>
      <c r="Z16" s="90"/>
      <c r="AA16" s="90"/>
      <c r="AB16" s="90"/>
      <c r="AC16" s="90"/>
      <c r="AD16" s="91"/>
      <c r="AE16" s="75"/>
      <c r="AF16" s="1" t="str">
        <f t="shared" si="3"/>
        <v/>
      </c>
    </row>
    <row r="17" spans="1:32" ht="18" customHeight="1" thickBot="1">
      <c r="A17" s="4">
        <f t="shared" si="5"/>
        <v>46152</v>
      </c>
      <c r="B17" s="5">
        <f t="shared" si="4"/>
        <v>46152</v>
      </c>
      <c r="C17" s="51"/>
      <c r="D17" s="48"/>
      <c r="E17" s="52"/>
      <c r="F17" s="49"/>
      <c r="G17" s="53"/>
      <c r="H17" s="27"/>
      <c r="I17" s="28"/>
      <c r="J17" s="8"/>
      <c r="K17" s="27" t="str">
        <f t="shared" si="9"/>
        <v/>
      </c>
      <c r="L17" s="8" t="str">
        <f t="shared" si="10"/>
        <v/>
      </c>
      <c r="M17" s="27" t="str">
        <f t="shared" si="11"/>
        <v/>
      </c>
      <c r="N17" s="8">
        <f t="shared" si="12"/>
        <v>0</v>
      </c>
      <c r="O17" s="36" t="str">
        <f t="shared" si="13"/>
        <v/>
      </c>
      <c r="P17" s="51"/>
      <c r="Q17" s="60" t="str">
        <f t="shared" si="14"/>
        <v/>
      </c>
      <c r="R17" s="52"/>
      <c r="S17" s="60" t="str">
        <f t="shared" si="15"/>
        <v/>
      </c>
      <c r="T17" s="53"/>
      <c r="U17" s="27" t="str">
        <f t="shared" si="0"/>
        <v/>
      </c>
      <c r="V17" s="28" t="str">
        <f t="shared" si="1"/>
        <v/>
      </c>
      <c r="W17" s="38" t="str">
        <f t="shared" si="2"/>
        <v/>
      </c>
      <c r="X17" s="63"/>
      <c r="Y17" s="89"/>
      <c r="Z17" s="90"/>
      <c r="AA17" s="90"/>
      <c r="AB17" s="90"/>
      <c r="AC17" s="90"/>
      <c r="AD17" s="91"/>
      <c r="AE17" s="75"/>
      <c r="AF17" s="1" t="str">
        <f t="shared" si="3"/>
        <v/>
      </c>
    </row>
    <row r="18" spans="1:32" ht="18" customHeight="1" thickBot="1">
      <c r="A18" s="4">
        <f t="shared" si="5"/>
        <v>46153</v>
      </c>
      <c r="B18" s="5">
        <f t="shared" si="4"/>
        <v>46153</v>
      </c>
      <c r="C18" s="51"/>
      <c r="D18" s="48"/>
      <c r="E18" s="52"/>
      <c r="F18" s="49"/>
      <c r="G18" s="53"/>
      <c r="H18" s="27" t="str">
        <f>IF(G18="","",G18/"01:00:00")</f>
        <v/>
      </c>
      <c r="I18" s="28" t="str">
        <f>IF(C18="","",E18-C18-G18)</f>
        <v/>
      </c>
      <c r="J18" s="8" t="str">
        <f>IF(I18="","",IF(I18&gt;$C$46,$C$46,I18))</f>
        <v/>
      </c>
      <c r="K18" s="27" t="str">
        <f t="shared" si="9"/>
        <v/>
      </c>
      <c r="L18" s="8" t="str">
        <f t="shared" si="10"/>
        <v/>
      </c>
      <c r="M18" s="27" t="str">
        <f t="shared" si="11"/>
        <v/>
      </c>
      <c r="N18" s="8">
        <f t="shared" si="12"/>
        <v>0</v>
      </c>
      <c r="O18" s="36" t="str">
        <f t="shared" si="13"/>
        <v/>
      </c>
      <c r="P18" s="51"/>
      <c r="Q18" s="60" t="str">
        <f t="shared" si="14"/>
        <v/>
      </c>
      <c r="R18" s="52"/>
      <c r="S18" s="60" t="str">
        <f t="shared" si="15"/>
        <v/>
      </c>
      <c r="T18" s="53"/>
      <c r="U18" s="27" t="str">
        <f t="shared" si="0"/>
        <v/>
      </c>
      <c r="V18" s="28" t="str">
        <f t="shared" si="1"/>
        <v/>
      </c>
      <c r="W18" s="38" t="str">
        <f t="shared" si="2"/>
        <v/>
      </c>
      <c r="X18" s="63"/>
      <c r="Y18" s="89"/>
      <c r="Z18" s="90"/>
      <c r="AA18" s="90"/>
      <c r="AB18" s="90"/>
      <c r="AC18" s="90"/>
      <c r="AD18" s="91"/>
      <c r="AE18" s="75"/>
      <c r="AF18" s="1" t="str">
        <f t="shared" si="3"/>
        <v/>
      </c>
    </row>
    <row r="19" spans="1:32" ht="18" customHeight="1" thickBot="1">
      <c r="A19" s="4">
        <f t="shared" si="5"/>
        <v>46154</v>
      </c>
      <c r="B19" s="5">
        <f t="shared" si="4"/>
        <v>46154</v>
      </c>
      <c r="C19" s="51"/>
      <c r="D19" s="48"/>
      <c r="E19" s="52"/>
      <c r="F19" s="49"/>
      <c r="G19" s="53"/>
      <c r="H19" s="27" t="str">
        <f>IF(G19="","",G19/"01:00:00")</f>
        <v/>
      </c>
      <c r="I19" s="28" t="str">
        <f>IF(C19="","",E19-C19-G19)</f>
        <v/>
      </c>
      <c r="J19" s="8" t="str">
        <f>IF(I19="","",IF(I19&gt;$C$46,$C$46,I19))</f>
        <v/>
      </c>
      <c r="K19" s="27" t="str">
        <f t="shared" si="9"/>
        <v/>
      </c>
      <c r="L19" s="8" t="str">
        <f t="shared" si="10"/>
        <v/>
      </c>
      <c r="M19" s="27" t="str">
        <f t="shared" si="11"/>
        <v/>
      </c>
      <c r="N19" s="8">
        <f t="shared" si="12"/>
        <v>0</v>
      </c>
      <c r="O19" s="36" t="str">
        <f t="shared" si="13"/>
        <v/>
      </c>
      <c r="P19" s="51"/>
      <c r="Q19" s="60" t="str">
        <f t="shared" si="14"/>
        <v/>
      </c>
      <c r="R19" s="52"/>
      <c r="S19" s="60" t="str">
        <f t="shared" si="15"/>
        <v/>
      </c>
      <c r="T19" s="53"/>
      <c r="U19" s="27" t="str">
        <f t="shared" si="0"/>
        <v/>
      </c>
      <c r="V19" s="28" t="str">
        <f t="shared" si="1"/>
        <v/>
      </c>
      <c r="W19" s="38" t="str">
        <f t="shared" si="2"/>
        <v/>
      </c>
      <c r="X19" s="63"/>
      <c r="Y19" s="89"/>
      <c r="Z19" s="90"/>
      <c r="AA19" s="90"/>
      <c r="AB19" s="90"/>
      <c r="AC19" s="90"/>
      <c r="AD19" s="91"/>
      <c r="AE19" s="75"/>
      <c r="AF19" s="1" t="str">
        <f t="shared" si="3"/>
        <v/>
      </c>
    </row>
    <row r="20" spans="1:32" ht="18" customHeight="1" thickBot="1">
      <c r="A20" s="4">
        <f t="shared" si="5"/>
        <v>46155</v>
      </c>
      <c r="B20" s="5">
        <f t="shared" si="4"/>
        <v>46155</v>
      </c>
      <c r="C20" s="51"/>
      <c r="D20" s="48"/>
      <c r="E20" s="52"/>
      <c r="F20" s="49"/>
      <c r="G20" s="53"/>
      <c r="H20" s="27" t="str">
        <f>IF(G20="","",G20/"01:00:00")</f>
        <v/>
      </c>
      <c r="I20" s="28" t="str">
        <f t="shared" ref="I20:I35" si="16">IF(C20="","",E20-C20-G20)</f>
        <v/>
      </c>
      <c r="J20" s="8" t="str">
        <f t="shared" ref="J20:J38" si="17">IF(I20="","",IF(I20&gt;$C$46,$C$46,I20))</f>
        <v/>
      </c>
      <c r="K20" s="27" t="str">
        <f t="shared" si="9"/>
        <v/>
      </c>
      <c r="L20" s="8" t="str">
        <f t="shared" si="10"/>
        <v/>
      </c>
      <c r="M20" s="27" t="str">
        <f t="shared" si="11"/>
        <v/>
      </c>
      <c r="N20" s="8">
        <f t="shared" si="12"/>
        <v>0</v>
      </c>
      <c r="O20" s="36" t="str">
        <f t="shared" si="13"/>
        <v/>
      </c>
      <c r="P20" s="51"/>
      <c r="Q20" s="60" t="str">
        <f t="shared" si="14"/>
        <v/>
      </c>
      <c r="R20" s="52"/>
      <c r="S20" s="60" t="str">
        <f t="shared" si="15"/>
        <v/>
      </c>
      <c r="T20" s="53"/>
      <c r="U20" s="27" t="str">
        <f t="shared" si="0"/>
        <v/>
      </c>
      <c r="V20" s="28" t="str">
        <f t="shared" si="1"/>
        <v/>
      </c>
      <c r="W20" s="38" t="str">
        <f t="shared" si="2"/>
        <v/>
      </c>
      <c r="X20" s="63"/>
      <c r="Y20" s="89"/>
      <c r="Z20" s="90"/>
      <c r="AA20" s="90"/>
      <c r="AB20" s="90"/>
      <c r="AC20" s="90"/>
      <c r="AD20" s="91"/>
      <c r="AE20" s="75"/>
      <c r="AF20" s="1" t="str">
        <f t="shared" si="3"/>
        <v/>
      </c>
    </row>
    <row r="21" spans="1:32" ht="18" customHeight="1" thickBot="1">
      <c r="A21" s="4">
        <f t="shared" si="5"/>
        <v>46156</v>
      </c>
      <c r="B21" s="5">
        <f t="shared" si="4"/>
        <v>46156</v>
      </c>
      <c r="C21" s="51"/>
      <c r="D21" s="48"/>
      <c r="E21" s="52"/>
      <c r="F21" s="49"/>
      <c r="G21" s="53"/>
      <c r="H21" s="27" t="str">
        <f>IF(G21="","",G21/"01:00:00")</f>
        <v/>
      </c>
      <c r="I21" s="28" t="str">
        <f>IF(C21="","",E21-C21-G21)</f>
        <v/>
      </c>
      <c r="J21" s="8" t="str">
        <f>IF(I21="","",IF(I21&gt;$C$46,$C$46,I21))</f>
        <v/>
      </c>
      <c r="K21" s="27" t="str">
        <f t="shared" ref="K21:K38" si="18">IF(J21="","",J21/"01:00:00")</f>
        <v/>
      </c>
      <c r="L21" s="8" t="str">
        <f t="shared" ref="L21:L38" si="19">IF(OR(I21&lt;=$C$46,I21=""),"",I21-J21-N21)</f>
        <v/>
      </c>
      <c r="M21" s="27" t="str">
        <f t="shared" ref="M21:M38" si="20">IF(L21="","",L21/"01:00:00")</f>
        <v/>
      </c>
      <c r="N21" s="8">
        <f t="shared" ref="N21:N38" si="21">5/24-MIN(C21,5/24)+MAX((E21&lt;C21)+E21,22/24)-22/24</f>
        <v>0</v>
      </c>
      <c r="O21" s="36" t="str">
        <f t="shared" ref="O21:O38" si="22">IF(M21="","",N21/"01:00:00")</f>
        <v/>
      </c>
      <c r="P21" s="51"/>
      <c r="Q21" s="60" t="str">
        <f t="shared" si="14"/>
        <v/>
      </c>
      <c r="R21" s="52"/>
      <c r="S21" s="60" t="str">
        <f t="shared" si="15"/>
        <v/>
      </c>
      <c r="T21" s="53"/>
      <c r="U21" s="27" t="str">
        <f t="shared" si="0"/>
        <v/>
      </c>
      <c r="V21" s="28" t="str">
        <f t="shared" si="1"/>
        <v/>
      </c>
      <c r="W21" s="38" t="str">
        <f t="shared" si="2"/>
        <v/>
      </c>
      <c r="X21" s="63"/>
      <c r="Y21" s="89"/>
      <c r="Z21" s="90"/>
      <c r="AA21" s="90"/>
      <c r="AB21" s="90"/>
      <c r="AC21" s="90"/>
      <c r="AD21" s="91"/>
      <c r="AE21" s="75"/>
      <c r="AF21" s="1" t="str">
        <f t="shared" si="3"/>
        <v/>
      </c>
    </row>
    <row r="22" spans="1:32" ht="18" customHeight="1" thickBot="1">
      <c r="A22" s="4">
        <f t="shared" si="5"/>
        <v>46157</v>
      </c>
      <c r="B22" s="5">
        <f t="shared" si="4"/>
        <v>46157</v>
      </c>
      <c r="C22" s="51"/>
      <c r="D22" s="48"/>
      <c r="E22" s="52"/>
      <c r="F22" s="49"/>
      <c r="G22" s="53"/>
      <c r="H22" s="27" t="str">
        <f>IF(G22="","",G22/"01:00:00")</f>
        <v/>
      </c>
      <c r="I22" s="28" t="str">
        <f>IF(C22="","",E22-C22-G22)</f>
        <v/>
      </c>
      <c r="J22" s="8" t="str">
        <f>IF(I22="","",IF(I22&gt;$C$46,$C$46,I22))</f>
        <v/>
      </c>
      <c r="K22" s="27" t="str">
        <f t="shared" si="18"/>
        <v/>
      </c>
      <c r="L22" s="8" t="str">
        <f t="shared" si="19"/>
        <v/>
      </c>
      <c r="M22" s="27" t="str">
        <f t="shared" si="20"/>
        <v/>
      </c>
      <c r="N22" s="8">
        <f t="shared" si="21"/>
        <v>0</v>
      </c>
      <c r="O22" s="36" t="str">
        <f t="shared" si="22"/>
        <v/>
      </c>
      <c r="P22" s="51"/>
      <c r="Q22" s="60" t="str">
        <f t="shared" si="14"/>
        <v/>
      </c>
      <c r="R22" s="52"/>
      <c r="S22" s="60" t="str">
        <f t="shared" si="15"/>
        <v/>
      </c>
      <c r="T22" s="53"/>
      <c r="U22" s="27" t="str">
        <f t="shared" si="0"/>
        <v/>
      </c>
      <c r="V22" s="28" t="str">
        <f t="shared" si="1"/>
        <v/>
      </c>
      <c r="W22" s="38" t="str">
        <f t="shared" si="2"/>
        <v/>
      </c>
      <c r="X22" s="63"/>
      <c r="Y22" s="89"/>
      <c r="Z22" s="90"/>
      <c r="AA22" s="90"/>
      <c r="AB22" s="90"/>
      <c r="AC22" s="90"/>
      <c r="AD22" s="91"/>
      <c r="AE22" s="75"/>
      <c r="AF22" s="1" t="str">
        <f t="shared" si="3"/>
        <v/>
      </c>
    </row>
    <row r="23" spans="1:32" ht="18" customHeight="1" thickBot="1">
      <c r="A23" s="4">
        <f t="shared" si="5"/>
        <v>46158</v>
      </c>
      <c r="B23" s="5">
        <f t="shared" si="4"/>
        <v>46158</v>
      </c>
      <c r="C23" s="51"/>
      <c r="D23" s="48"/>
      <c r="E23" s="52"/>
      <c r="F23" s="49"/>
      <c r="G23" s="53"/>
      <c r="H23" s="27"/>
      <c r="I23" s="28"/>
      <c r="J23" s="8"/>
      <c r="K23" s="27"/>
      <c r="L23" s="8"/>
      <c r="M23" s="27"/>
      <c r="N23" s="8"/>
      <c r="O23" s="36"/>
      <c r="P23" s="51"/>
      <c r="Q23" s="60" t="str">
        <f t="shared" si="14"/>
        <v/>
      </c>
      <c r="R23" s="52"/>
      <c r="S23" s="60" t="str">
        <f t="shared" si="15"/>
        <v/>
      </c>
      <c r="T23" s="53"/>
      <c r="U23" s="27" t="str">
        <f t="shared" si="0"/>
        <v/>
      </c>
      <c r="V23" s="28" t="str">
        <f t="shared" si="1"/>
        <v/>
      </c>
      <c r="W23" s="38" t="str">
        <f t="shared" si="2"/>
        <v/>
      </c>
      <c r="X23" s="63"/>
      <c r="Y23" s="89"/>
      <c r="Z23" s="90"/>
      <c r="AA23" s="90"/>
      <c r="AB23" s="90"/>
      <c r="AC23" s="90"/>
      <c r="AD23" s="91"/>
      <c r="AE23" s="75"/>
      <c r="AF23" s="1" t="str">
        <f t="shared" si="3"/>
        <v/>
      </c>
    </row>
    <row r="24" spans="1:32" ht="18" customHeight="1" thickBot="1">
      <c r="A24" s="4">
        <f>A23+1</f>
        <v>46159</v>
      </c>
      <c r="B24" s="5">
        <f t="shared" si="4"/>
        <v>46159</v>
      </c>
      <c r="C24" s="51"/>
      <c r="D24" s="48"/>
      <c r="E24" s="52"/>
      <c r="F24" s="49"/>
      <c r="G24" s="53"/>
      <c r="H24" s="27"/>
      <c r="I24" s="28"/>
      <c r="J24" s="8"/>
      <c r="K24" s="27"/>
      <c r="L24" s="8"/>
      <c r="M24" s="27"/>
      <c r="N24" s="8"/>
      <c r="O24" s="36"/>
      <c r="P24" s="51"/>
      <c r="Q24" s="60" t="str">
        <f>IF(P24="","",P24/"01:00:00")</f>
        <v/>
      </c>
      <c r="R24" s="52"/>
      <c r="S24" s="60" t="str">
        <f t="shared" si="15"/>
        <v/>
      </c>
      <c r="T24" s="53"/>
      <c r="U24" s="27" t="str">
        <f t="shared" si="0"/>
        <v/>
      </c>
      <c r="V24" s="28" t="str">
        <f t="shared" si="1"/>
        <v/>
      </c>
      <c r="W24" s="38" t="str">
        <f t="shared" si="2"/>
        <v/>
      </c>
      <c r="X24" s="63"/>
      <c r="Y24" s="89"/>
      <c r="Z24" s="90"/>
      <c r="AA24" s="90"/>
      <c r="AB24" s="90"/>
      <c r="AC24" s="90"/>
      <c r="AD24" s="91"/>
      <c r="AE24" s="75"/>
      <c r="AF24" s="1" t="str">
        <f t="shared" si="3"/>
        <v/>
      </c>
    </row>
    <row r="25" spans="1:32" ht="18" customHeight="1" thickBot="1">
      <c r="A25" s="4">
        <f>A24+1</f>
        <v>46160</v>
      </c>
      <c r="B25" s="5">
        <f t="shared" si="4"/>
        <v>46160</v>
      </c>
      <c r="C25" s="51"/>
      <c r="D25" s="48"/>
      <c r="E25" s="52"/>
      <c r="F25" s="49"/>
      <c r="G25" s="53"/>
      <c r="H25" s="27" t="str">
        <f>IF(G25="","",G25/"01:00:00")</f>
        <v/>
      </c>
      <c r="I25" s="28" t="str">
        <f t="shared" si="16"/>
        <v/>
      </c>
      <c r="J25" s="8" t="str">
        <f t="shared" si="17"/>
        <v/>
      </c>
      <c r="K25" s="27" t="str">
        <f t="shared" si="18"/>
        <v/>
      </c>
      <c r="L25" s="8" t="str">
        <f t="shared" si="19"/>
        <v/>
      </c>
      <c r="M25" s="27" t="str">
        <f t="shared" si="20"/>
        <v/>
      </c>
      <c r="N25" s="8">
        <f t="shared" si="21"/>
        <v>0</v>
      </c>
      <c r="O25" s="36" t="str">
        <f t="shared" si="22"/>
        <v/>
      </c>
      <c r="P25" s="51"/>
      <c r="Q25" s="60" t="str">
        <f t="shared" si="14"/>
        <v/>
      </c>
      <c r="R25" s="52"/>
      <c r="S25" s="60" t="str">
        <f t="shared" si="15"/>
        <v/>
      </c>
      <c r="T25" s="53"/>
      <c r="U25" s="27" t="str">
        <f t="shared" si="0"/>
        <v/>
      </c>
      <c r="V25" s="28" t="str">
        <f t="shared" si="1"/>
        <v/>
      </c>
      <c r="W25" s="38" t="str">
        <f t="shared" si="2"/>
        <v/>
      </c>
      <c r="X25" s="63"/>
      <c r="Y25" s="89"/>
      <c r="Z25" s="90"/>
      <c r="AA25" s="90"/>
      <c r="AB25" s="90"/>
      <c r="AC25" s="90"/>
      <c r="AD25" s="91"/>
      <c r="AE25" s="75"/>
      <c r="AF25" s="1" t="str">
        <f t="shared" si="3"/>
        <v/>
      </c>
    </row>
    <row r="26" spans="1:32" ht="18" customHeight="1" thickBot="1">
      <c r="A26" s="4">
        <f t="shared" ref="A26:A35" si="23">A25+1</f>
        <v>46161</v>
      </c>
      <c r="B26" s="5">
        <f>A26</f>
        <v>46161</v>
      </c>
      <c r="C26" s="51"/>
      <c r="D26" s="48"/>
      <c r="E26" s="52"/>
      <c r="F26" s="49"/>
      <c r="G26" s="53"/>
      <c r="H26" s="27" t="str">
        <f>IF(G26="","",G26/"01:00:00")</f>
        <v/>
      </c>
      <c r="I26" s="28" t="str">
        <f t="shared" si="16"/>
        <v/>
      </c>
      <c r="J26" s="8" t="str">
        <f t="shared" si="17"/>
        <v/>
      </c>
      <c r="K26" s="27" t="str">
        <f t="shared" si="18"/>
        <v/>
      </c>
      <c r="L26" s="8" t="str">
        <f t="shared" si="19"/>
        <v/>
      </c>
      <c r="M26" s="27" t="str">
        <f t="shared" si="20"/>
        <v/>
      </c>
      <c r="N26" s="8">
        <f t="shared" si="21"/>
        <v>0</v>
      </c>
      <c r="O26" s="36" t="str">
        <f t="shared" si="22"/>
        <v/>
      </c>
      <c r="P26" s="51"/>
      <c r="Q26" s="60" t="str">
        <f t="shared" si="14"/>
        <v/>
      </c>
      <c r="R26" s="52"/>
      <c r="S26" s="60" t="str">
        <f t="shared" si="15"/>
        <v/>
      </c>
      <c r="T26" s="53"/>
      <c r="U26" s="27" t="str">
        <f t="shared" si="0"/>
        <v/>
      </c>
      <c r="V26" s="28" t="str">
        <f t="shared" si="1"/>
        <v/>
      </c>
      <c r="W26" s="38" t="str">
        <f t="shared" si="2"/>
        <v/>
      </c>
      <c r="X26" s="63"/>
      <c r="Y26" s="89"/>
      <c r="Z26" s="90"/>
      <c r="AA26" s="90"/>
      <c r="AB26" s="90"/>
      <c r="AC26" s="90"/>
      <c r="AD26" s="91"/>
      <c r="AE26" s="75"/>
      <c r="AF26" s="1" t="str">
        <f t="shared" si="3"/>
        <v/>
      </c>
    </row>
    <row r="27" spans="1:32" ht="18" customHeight="1">
      <c r="A27" s="79">
        <f t="shared" si="23"/>
        <v>46162</v>
      </c>
      <c r="B27" s="5">
        <f t="shared" si="4"/>
        <v>46162</v>
      </c>
      <c r="C27" s="51"/>
      <c r="D27" s="48"/>
      <c r="E27" s="52"/>
      <c r="F27" s="49"/>
      <c r="G27" s="53"/>
      <c r="H27" s="27" t="str">
        <f>IF(G27="","",G27/"01:00:00")</f>
        <v/>
      </c>
      <c r="I27" s="28" t="str">
        <f>IF(C27="","",E27-C27-G27)</f>
        <v/>
      </c>
      <c r="J27" s="8" t="str">
        <f>IF(I27="","",IF(I27&gt;$C$46,$C$46,I27))</f>
        <v/>
      </c>
      <c r="K27" s="27" t="str">
        <f>IF(J27="","",J27/"01:00:00")</f>
        <v/>
      </c>
      <c r="L27" s="8" t="str">
        <f t="shared" si="19"/>
        <v/>
      </c>
      <c r="M27" s="27" t="str">
        <f t="shared" si="20"/>
        <v/>
      </c>
      <c r="N27" s="8">
        <f t="shared" si="21"/>
        <v>0</v>
      </c>
      <c r="O27" s="36" t="str">
        <f t="shared" si="22"/>
        <v/>
      </c>
      <c r="P27" s="51"/>
      <c r="Q27" s="60" t="str">
        <f t="shared" si="14"/>
        <v/>
      </c>
      <c r="R27" s="52"/>
      <c r="S27" s="60" t="str">
        <f t="shared" si="15"/>
        <v/>
      </c>
      <c r="T27" s="53"/>
      <c r="U27" s="27" t="str">
        <f t="shared" si="0"/>
        <v/>
      </c>
      <c r="V27" s="28" t="str">
        <f t="shared" si="1"/>
        <v/>
      </c>
      <c r="W27" s="38"/>
      <c r="X27" s="63"/>
      <c r="Y27" s="89"/>
      <c r="Z27" s="90"/>
      <c r="AA27" s="90"/>
      <c r="AB27" s="90"/>
      <c r="AC27" s="90"/>
      <c r="AD27" s="91"/>
      <c r="AE27" s="75"/>
      <c r="AF27" s="1" t="str">
        <f t="shared" si="3"/>
        <v/>
      </c>
    </row>
    <row r="28" spans="1:32" ht="18" customHeight="1" thickBot="1">
      <c r="A28" s="79">
        <f t="shared" si="23"/>
        <v>46163</v>
      </c>
      <c r="B28" s="5">
        <f t="shared" si="4"/>
        <v>46163</v>
      </c>
      <c r="C28" s="51"/>
      <c r="D28" s="48"/>
      <c r="E28" s="52"/>
      <c r="F28" s="49"/>
      <c r="G28" s="53"/>
      <c r="H28" s="27"/>
      <c r="I28" s="28"/>
      <c r="J28" s="8"/>
      <c r="K28" s="27"/>
      <c r="L28" s="8"/>
      <c r="M28" s="27"/>
      <c r="N28" s="8"/>
      <c r="O28" s="36"/>
      <c r="P28" s="51"/>
      <c r="Q28" s="60" t="str">
        <f t="shared" si="14"/>
        <v/>
      </c>
      <c r="R28" s="52"/>
      <c r="S28" s="60" t="str">
        <f>IF(R28="","",R28/"01:00:00")</f>
        <v/>
      </c>
      <c r="T28" s="53"/>
      <c r="U28" s="27" t="str">
        <f>IF(T28="","",T28/"01:00:00")</f>
        <v/>
      </c>
      <c r="V28" s="28" t="str">
        <f t="shared" si="1"/>
        <v/>
      </c>
      <c r="W28" s="38"/>
      <c r="X28" s="63"/>
      <c r="Y28" s="95"/>
      <c r="Z28" s="96"/>
      <c r="AA28" s="96"/>
      <c r="AB28" s="96"/>
      <c r="AC28" s="96"/>
      <c r="AD28" s="97"/>
      <c r="AE28" s="75"/>
      <c r="AF28" s="1" t="str">
        <f t="shared" si="3"/>
        <v/>
      </c>
    </row>
    <row r="29" spans="1:32" ht="18" customHeight="1" thickBot="1">
      <c r="A29" s="4">
        <f t="shared" si="23"/>
        <v>46164</v>
      </c>
      <c r="B29" s="5">
        <f t="shared" si="4"/>
        <v>46164</v>
      </c>
      <c r="C29" s="51"/>
      <c r="D29" s="48"/>
      <c r="E29" s="52"/>
      <c r="F29" s="49"/>
      <c r="G29" s="53"/>
      <c r="H29" s="27" t="str">
        <f>IF(G29="","",G29/"01:00:00")</f>
        <v/>
      </c>
      <c r="I29" s="28" t="str">
        <f>IF(C29="","",E29-C29-G29)</f>
        <v/>
      </c>
      <c r="J29" s="8" t="str">
        <f>IF(I29="","",IF(I29&gt;$C$46,$C$46,I29))</f>
        <v/>
      </c>
      <c r="K29" s="27" t="str">
        <f t="shared" si="18"/>
        <v/>
      </c>
      <c r="L29" s="8" t="str">
        <f t="shared" si="19"/>
        <v/>
      </c>
      <c r="M29" s="27" t="str">
        <f t="shared" si="20"/>
        <v/>
      </c>
      <c r="N29" s="8">
        <f t="shared" si="21"/>
        <v>0</v>
      </c>
      <c r="O29" s="36" t="str">
        <f t="shared" si="22"/>
        <v/>
      </c>
      <c r="P29" s="51"/>
      <c r="Q29" s="60"/>
      <c r="R29" s="52"/>
      <c r="S29" s="60"/>
      <c r="T29" s="53"/>
      <c r="U29" s="27" t="str">
        <f t="shared" si="0"/>
        <v/>
      </c>
      <c r="V29" s="28" t="str">
        <f t="shared" si="1"/>
        <v/>
      </c>
      <c r="W29" s="38" t="str">
        <f t="shared" si="2"/>
        <v/>
      </c>
      <c r="X29" s="63"/>
      <c r="Y29" s="89"/>
      <c r="Z29" s="90"/>
      <c r="AA29" s="90"/>
      <c r="AB29" s="90"/>
      <c r="AC29" s="90"/>
      <c r="AD29" s="91"/>
      <c r="AE29" s="75"/>
      <c r="AF29" s="1" t="str">
        <f t="shared" si="3"/>
        <v/>
      </c>
    </row>
    <row r="30" spans="1:32" ht="18" customHeight="1" thickBot="1">
      <c r="A30" s="4">
        <f t="shared" si="23"/>
        <v>46165</v>
      </c>
      <c r="B30" s="5">
        <f t="shared" si="4"/>
        <v>46165</v>
      </c>
      <c r="C30" s="51"/>
      <c r="D30" s="48"/>
      <c r="E30" s="52"/>
      <c r="F30" s="49"/>
      <c r="G30" s="53"/>
      <c r="H30" s="27"/>
      <c r="I30" s="28"/>
      <c r="J30" s="8"/>
      <c r="K30" s="27" t="str">
        <f t="shared" si="18"/>
        <v/>
      </c>
      <c r="L30" s="8" t="str">
        <f t="shared" si="19"/>
        <v/>
      </c>
      <c r="M30" s="27" t="str">
        <f t="shared" si="20"/>
        <v/>
      </c>
      <c r="N30" s="8">
        <f t="shared" si="21"/>
        <v>0</v>
      </c>
      <c r="O30" s="36" t="str">
        <f t="shared" si="22"/>
        <v/>
      </c>
      <c r="P30" s="51"/>
      <c r="Q30" s="60"/>
      <c r="R30" s="52"/>
      <c r="S30" s="60"/>
      <c r="T30" s="53"/>
      <c r="U30" s="27" t="str">
        <f t="shared" si="0"/>
        <v/>
      </c>
      <c r="V30" s="28" t="str">
        <f t="shared" si="1"/>
        <v/>
      </c>
      <c r="W30" s="38" t="str">
        <f t="shared" si="2"/>
        <v/>
      </c>
      <c r="X30" s="63"/>
      <c r="Y30" s="89"/>
      <c r="Z30" s="90"/>
      <c r="AA30" s="90"/>
      <c r="AB30" s="90"/>
      <c r="AC30" s="90"/>
      <c r="AD30" s="91"/>
      <c r="AE30" s="75"/>
      <c r="AF30" s="1" t="str">
        <f t="shared" si="3"/>
        <v/>
      </c>
    </row>
    <row r="31" spans="1:32" ht="18" customHeight="1" thickBot="1">
      <c r="A31" s="4">
        <f t="shared" si="23"/>
        <v>46166</v>
      </c>
      <c r="B31" s="5">
        <f t="shared" si="4"/>
        <v>46166</v>
      </c>
      <c r="C31" s="51"/>
      <c r="D31" s="48"/>
      <c r="E31" s="52"/>
      <c r="F31" s="49"/>
      <c r="G31" s="53"/>
      <c r="H31" s="27"/>
      <c r="I31" s="28"/>
      <c r="J31" s="8"/>
      <c r="K31" s="27" t="str">
        <f t="shared" si="18"/>
        <v/>
      </c>
      <c r="L31" s="8" t="str">
        <f t="shared" si="19"/>
        <v/>
      </c>
      <c r="M31" s="27" t="str">
        <f t="shared" si="20"/>
        <v/>
      </c>
      <c r="N31" s="8">
        <f t="shared" si="21"/>
        <v>0</v>
      </c>
      <c r="O31" s="36" t="str">
        <f t="shared" si="22"/>
        <v/>
      </c>
      <c r="P31" s="51"/>
      <c r="Q31" s="60"/>
      <c r="R31" s="52"/>
      <c r="S31" s="60"/>
      <c r="T31" s="53"/>
      <c r="U31" s="27" t="str">
        <f t="shared" si="0"/>
        <v/>
      </c>
      <c r="V31" s="28" t="str">
        <f t="shared" si="1"/>
        <v/>
      </c>
      <c r="W31" s="38" t="str">
        <f t="shared" si="2"/>
        <v/>
      </c>
      <c r="X31" s="63"/>
      <c r="Y31" s="89"/>
      <c r="Z31" s="90"/>
      <c r="AA31" s="90"/>
      <c r="AB31" s="90"/>
      <c r="AC31" s="90"/>
      <c r="AD31" s="91"/>
      <c r="AE31" s="75"/>
      <c r="AF31" s="1" t="str">
        <f t="shared" si="3"/>
        <v/>
      </c>
    </row>
    <row r="32" spans="1:32" ht="18" customHeight="1" thickBot="1">
      <c r="A32" s="4">
        <f t="shared" si="23"/>
        <v>46167</v>
      </c>
      <c r="B32" s="5">
        <f t="shared" si="4"/>
        <v>46167</v>
      </c>
      <c r="C32" s="51"/>
      <c r="D32" s="48"/>
      <c r="E32" s="52"/>
      <c r="F32" s="49"/>
      <c r="G32" s="53"/>
      <c r="H32" s="27" t="str">
        <f>IF(G32="","",G32/"01:00:00")</f>
        <v/>
      </c>
      <c r="I32" s="28" t="str">
        <f>IF(C32="","",E32-C32-G32)</f>
        <v/>
      </c>
      <c r="J32" s="8" t="str">
        <f>IF(I32="","",IF(I32&gt;$C$46,$C$46,I32))</f>
        <v/>
      </c>
      <c r="K32" s="27" t="str">
        <f>IF(J32="","",J32/"01:00:00")</f>
        <v/>
      </c>
      <c r="L32" s="8" t="str">
        <f>IF(OR(I32&lt;=$C$46,I32=""),"",I32-J32-N32)</f>
        <v/>
      </c>
      <c r="M32" s="27" t="str">
        <f>IF(L32="","",L32/"01:00:00")</f>
        <v/>
      </c>
      <c r="N32" s="8">
        <f>5/24-MIN(C32,5/24)+MAX((E32&lt;C32)+E32,22/24)-22/24</f>
        <v>0</v>
      </c>
      <c r="O32" s="36" t="str">
        <f>IF(M32="","",N32/"01:00:00")</f>
        <v/>
      </c>
      <c r="P32" s="51"/>
      <c r="Q32" s="60"/>
      <c r="R32" s="52"/>
      <c r="S32" s="60"/>
      <c r="T32" s="53"/>
      <c r="U32" s="27" t="str">
        <f t="shared" si="0"/>
        <v/>
      </c>
      <c r="V32" s="28" t="str">
        <f t="shared" si="1"/>
        <v/>
      </c>
      <c r="W32" s="38" t="str">
        <f t="shared" si="2"/>
        <v/>
      </c>
      <c r="X32" s="63"/>
      <c r="Y32" s="89"/>
      <c r="Z32" s="90"/>
      <c r="AA32" s="90"/>
      <c r="AB32" s="90"/>
      <c r="AC32" s="90"/>
      <c r="AD32" s="91"/>
      <c r="AE32" s="75"/>
      <c r="AF32" s="1" t="str">
        <f t="shared" si="3"/>
        <v/>
      </c>
    </row>
    <row r="33" spans="1:32" ht="18" customHeight="1" thickBot="1">
      <c r="A33" s="4">
        <f t="shared" si="23"/>
        <v>46168</v>
      </c>
      <c r="B33" s="5">
        <f t="shared" si="4"/>
        <v>46168</v>
      </c>
      <c r="C33" s="51"/>
      <c r="D33" s="48"/>
      <c r="E33" s="52"/>
      <c r="F33" s="49"/>
      <c r="G33" s="53"/>
      <c r="H33" s="27" t="str">
        <f>IF(G33="","",G33/"01:00:00")</f>
        <v/>
      </c>
      <c r="I33" s="28" t="str">
        <f>IF(C33="","",E33-C33-G33)</f>
        <v/>
      </c>
      <c r="J33" s="8" t="str">
        <f>IF(I33="","",IF(I33&gt;$C$46,$C$46,I33))</f>
        <v/>
      </c>
      <c r="K33" s="27" t="str">
        <f>IF(J33="","",J33/"01:00:00")</f>
        <v/>
      </c>
      <c r="L33" s="8" t="str">
        <f>IF(OR(I33&lt;=$C$46,I33=""),"",I33-J33-N33)</f>
        <v/>
      </c>
      <c r="M33" s="27" t="str">
        <f>IF(L33="","",L33/"01:00:00")</f>
        <v/>
      </c>
      <c r="N33" s="8">
        <f>5/24-MIN(C33,5/24)+MAX((E33&lt;C33)+E33,22/24)-22/24</f>
        <v>0</v>
      </c>
      <c r="O33" s="36" t="str">
        <f>IF(M33="","",N33/"01:00:00")</f>
        <v/>
      </c>
      <c r="P33" s="51"/>
      <c r="Q33" s="60"/>
      <c r="R33" s="52"/>
      <c r="S33" s="60"/>
      <c r="T33" s="53"/>
      <c r="U33" s="27" t="str">
        <f t="shared" si="0"/>
        <v/>
      </c>
      <c r="V33" s="28" t="str">
        <f t="shared" si="1"/>
        <v/>
      </c>
      <c r="W33" s="38" t="str">
        <f t="shared" si="2"/>
        <v/>
      </c>
      <c r="X33" s="63"/>
      <c r="Y33" s="89"/>
      <c r="Z33" s="90"/>
      <c r="AA33" s="90"/>
      <c r="AB33" s="90"/>
      <c r="AC33" s="90"/>
      <c r="AD33" s="91"/>
      <c r="AE33" s="75"/>
      <c r="AF33" s="1" t="str">
        <f t="shared" si="3"/>
        <v/>
      </c>
    </row>
    <row r="34" spans="1:32" ht="18" customHeight="1" thickBot="1">
      <c r="A34" s="4">
        <f t="shared" si="23"/>
        <v>46169</v>
      </c>
      <c r="B34" s="5">
        <f t="shared" si="4"/>
        <v>46169</v>
      </c>
      <c r="C34" s="51"/>
      <c r="D34" s="48"/>
      <c r="E34" s="52"/>
      <c r="F34" s="49"/>
      <c r="G34" s="53"/>
      <c r="H34" s="27" t="str">
        <f>IF(G34="","",G34/"01:00:00")</f>
        <v/>
      </c>
      <c r="I34" s="28" t="str">
        <f>IF(C34="","",E34-C34-G34)</f>
        <v/>
      </c>
      <c r="J34" s="8" t="str">
        <f>IF(I34="","",IF(I34&gt;$C$46,$C$46,I34))</f>
        <v/>
      </c>
      <c r="K34" s="27" t="str">
        <f>IF(J34="","",J34/"01:00:00")</f>
        <v/>
      </c>
      <c r="L34" s="8" t="str">
        <f t="shared" si="19"/>
        <v/>
      </c>
      <c r="M34" s="27" t="str">
        <f t="shared" si="20"/>
        <v/>
      </c>
      <c r="N34" s="8">
        <f t="shared" si="21"/>
        <v>0</v>
      </c>
      <c r="O34" s="36" t="str">
        <f t="shared" si="22"/>
        <v/>
      </c>
      <c r="P34" s="51"/>
      <c r="Q34" s="60"/>
      <c r="R34" s="52"/>
      <c r="S34" s="60"/>
      <c r="T34" s="53"/>
      <c r="U34" s="27" t="str">
        <f t="shared" si="0"/>
        <v/>
      </c>
      <c r="V34" s="28" t="str">
        <f t="shared" si="1"/>
        <v/>
      </c>
      <c r="W34" s="38" t="str">
        <f t="shared" si="2"/>
        <v/>
      </c>
      <c r="X34" s="63"/>
      <c r="Y34" s="89"/>
      <c r="Z34" s="90"/>
      <c r="AA34" s="90"/>
      <c r="AB34" s="90"/>
      <c r="AC34" s="90"/>
      <c r="AD34" s="91"/>
      <c r="AE34" s="75"/>
      <c r="AF34" s="1" t="str">
        <f t="shared" si="3"/>
        <v/>
      </c>
    </row>
    <row r="35" spans="1:32" ht="18" customHeight="1" thickBot="1">
      <c r="A35" s="4">
        <f t="shared" si="23"/>
        <v>46170</v>
      </c>
      <c r="B35" s="5">
        <f t="shared" si="4"/>
        <v>46170</v>
      </c>
      <c r="C35" s="51"/>
      <c r="D35" s="48"/>
      <c r="E35" s="52"/>
      <c r="F35" s="49"/>
      <c r="G35" s="53"/>
      <c r="H35" s="27" t="str">
        <f>IF(G35="","",G35/"01:00:00")</f>
        <v/>
      </c>
      <c r="I35" s="28" t="str">
        <f t="shared" si="16"/>
        <v/>
      </c>
      <c r="J35" s="8" t="str">
        <f t="shared" si="17"/>
        <v/>
      </c>
      <c r="K35" s="27" t="str">
        <f t="shared" si="18"/>
        <v/>
      </c>
      <c r="L35" s="8" t="str">
        <f t="shared" si="19"/>
        <v/>
      </c>
      <c r="M35" s="27" t="str">
        <f t="shared" si="20"/>
        <v/>
      </c>
      <c r="N35" s="8">
        <f t="shared" si="21"/>
        <v>0</v>
      </c>
      <c r="O35" s="36" t="str">
        <f t="shared" si="22"/>
        <v/>
      </c>
      <c r="P35" s="51"/>
      <c r="Q35" s="60"/>
      <c r="R35" s="52"/>
      <c r="S35" s="60"/>
      <c r="T35" s="53"/>
      <c r="U35" s="27" t="str">
        <f t="shared" si="0"/>
        <v/>
      </c>
      <c r="V35" s="28" t="str">
        <f t="shared" si="1"/>
        <v/>
      </c>
      <c r="W35" s="38" t="str">
        <f t="shared" si="2"/>
        <v/>
      </c>
      <c r="X35" s="63"/>
      <c r="Y35" s="89"/>
      <c r="Z35" s="90"/>
      <c r="AA35" s="90"/>
      <c r="AB35" s="90"/>
      <c r="AC35" s="90"/>
      <c r="AD35" s="91"/>
      <c r="AE35" s="75"/>
      <c r="AF35" s="1" t="str">
        <f t="shared" si="3"/>
        <v/>
      </c>
    </row>
    <row r="36" spans="1:32" ht="18" customHeight="1" thickBot="1">
      <c r="A36" s="4">
        <f ca="1">IF(AND($E$2=2,MOD(YEAR(TODAY()),4)&lt;&gt;0),"--",A35+1)</f>
        <v>46171</v>
      </c>
      <c r="B36" s="5">
        <f t="shared" ca="1" si="4"/>
        <v>46171</v>
      </c>
      <c r="C36" s="51"/>
      <c r="D36" s="48"/>
      <c r="E36" s="52"/>
      <c r="F36" s="49"/>
      <c r="G36" s="53"/>
      <c r="H36" s="27" t="str">
        <f>IF(G36="","",G36/"01:00:00")</f>
        <v/>
      </c>
      <c r="I36" s="28" t="str">
        <f>IF(C36="","",E36-C36-G36)</f>
        <v/>
      </c>
      <c r="J36" s="8" t="str">
        <f>IF(I36="","",IF(I36&gt;$C$46,$C$46,I36))</f>
        <v/>
      </c>
      <c r="K36" s="27" t="str">
        <f>IF(J36="","",J36/"01:00:00")</f>
        <v/>
      </c>
      <c r="L36" s="8" t="str">
        <f>IF(OR(I36&lt;=$C$46,I36=""),"",I36-J36-N36)</f>
        <v/>
      </c>
      <c r="M36" s="27" t="str">
        <f>IF(L36="","",L36/"01:00:00")</f>
        <v/>
      </c>
      <c r="N36" s="8">
        <f>5/24-MIN(C36,5/24)+MAX((E36&lt;C36)+E36,22/24)-22/24</f>
        <v>0</v>
      </c>
      <c r="O36" s="36" t="str">
        <f>IF(M36="","",N36/"01:00:00")</f>
        <v/>
      </c>
      <c r="P36" s="51"/>
      <c r="Q36" s="60"/>
      <c r="R36" s="52"/>
      <c r="S36" s="60"/>
      <c r="T36" s="53"/>
      <c r="U36" s="27" t="str">
        <f t="shared" si="0"/>
        <v/>
      </c>
      <c r="V36" s="28" t="str">
        <f t="shared" si="1"/>
        <v/>
      </c>
      <c r="W36" s="38" t="str">
        <f t="shared" si="2"/>
        <v/>
      </c>
      <c r="X36" s="63"/>
      <c r="Y36" s="89"/>
      <c r="Z36" s="90"/>
      <c r="AA36" s="90"/>
      <c r="AB36" s="90"/>
      <c r="AC36" s="90"/>
      <c r="AD36" s="91"/>
      <c r="AE36" s="75"/>
      <c r="AF36" s="1" t="str">
        <f t="shared" ca="1" si="3"/>
        <v/>
      </c>
    </row>
    <row r="37" spans="1:32" ht="18" customHeight="1">
      <c r="A37" s="4">
        <f ca="1">IF(E2=2,"--",A36+1)</f>
        <v>46172</v>
      </c>
      <c r="B37" s="5">
        <f t="shared" ca="1" si="4"/>
        <v>46172</v>
      </c>
      <c r="C37" s="51"/>
      <c r="D37" s="48"/>
      <c r="E37" s="52"/>
      <c r="F37" s="49"/>
      <c r="G37" s="53"/>
      <c r="H37" s="27"/>
      <c r="I37" s="28"/>
      <c r="J37" s="8"/>
      <c r="K37" s="27"/>
      <c r="L37" s="8"/>
      <c r="M37" s="27"/>
      <c r="N37" s="8"/>
      <c r="O37" s="36"/>
      <c r="P37" s="51"/>
      <c r="Q37" s="60" t="str">
        <f t="shared" si="14"/>
        <v/>
      </c>
      <c r="R37" s="52"/>
      <c r="S37" s="60" t="str">
        <f t="shared" si="15"/>
        <v/>
      </c>
      <c r="T37" s="53"/>
      <c r="U37" s="27" t="str">
        <f t="shared" si="0"/>
        <v/>
      </c>
      <c r="V37" s="28" t="str">
        <f t="shared" si="1"/>
        <v/>
      </c>
      <c r="W37" s="38" t="str">
        <f t="shared" si="2"/>
        <v/>
      </c>
      <c r="X37" s="63"/>
      <c r="Y37" s="89"/>
      <c r="Z37" s="90"/>
      <c r="AA37" s="90"/>
      <c r="AB37" s="90"/>
      <c r="AC37" s="90"/>
      <c r="AD37" s="91"/>
      <c r="AE37" s="75"/>
      <c r="AF37" s="1" t="str">
        <f t="shared" ca="1" si="3"/>
        <v/>
      </c>
    </row>
    <row r="38" spans="1:32" ht="18" customHeight="1" thickBot="1">
      <c r="A38" s="4">
        <f ca="1">IF(OR(E2=2,E2=4,E2=6,E2=9,E2=11),"--",A37+1)</f>
        <v>46173</v>
      </c>
      <c r="B38" s="5">
        <f t="shared" ca="1" si="4"/>
        <v>46173</v>
      </c>
      <c r="C38" s="54"/>
      <c r="D38" s="48" t="str">
        <f>IF(C38="","",C38/"01:00:00")</f>
        <v/>
      </c>
      <c r="E38" s="55"/>
      <c r="F38" s="49" t="str">
        <f>IF(E38="","",E38/"01:00:00")</f>
        <v/>
      </c>
      <c r="G38" s="56"/>
      <c r="H38" s="29" t="str">
        <f>IF(G38="","",G38/"01:00:00")</f>
        <v/>
      </c>
      <c r="I38" s="30" t="str">
        <f>IF(H38="","",E38-C38-G38)</f>
        <v/>
      </c>
      <c r="J38" s="20" t="str">
        <f t="shared" si="17"/>
        <v/>
      </c>
      <c r="K38" s="27" t="str">
        <f t="shared" si="18"/>
        <v/>
      </c>
      <c r="L38" s="8" t="str">
        <f t="shared" si="19"/>
        <v/>
      </c>
      <c r="M38" s="27" t="str">
        <f t="shared" si="20"/>
        <v/>
      </c>
      <c r="N38" s="8">
        <f t="shared" si="21"/>
        <v>0</v>
      </c>
      <c r="O38" s="36" t="str">
        <f t="shared" si="22"/>
        <v/>
      </c>
      <c r="P38" s="54"/>
      <c r="Q38" s="61" t="str">
        <f t="shared" si="14"/>
        <v/>
      </c>
      <c r="R38" s="55"/>
      <c r="S38" s="61" t="str">
        <f t="shared" si="15"/>
        <v/>
      </c>
      <c r="T38" s="56"/>
      <c r="U38" s="29" t="str">
        <f t="shared" si="0"/>
        <v/>
      </c>
      <c r="V38" s="30" t="str">
        <f t="shared" si="1"/>
        <v/>
      </c>
      <c r="W38" s="39" t="str">
        <f t="shared" si="2"/>
        <v/>
      </c>
      <c r="X38" s="64"/>
      <c r="Y38" s="92"/>
      <c r="Z38" s="93"/>
      <c r="AA38" s="93"/>
      <c r="AB38" s="93"/>
      <c r="AC38" s="93"/>
      <c r="AD38" s="94"/>
      <c r="AE38" s="76"/>
      <c r="AF38" s="1" t="str">
        <f t="shared" ca="1" si="3"/>
        <v/>
      </c>
    </row>
    <row r="39" spans="1:32" ht="22.5" customHeight="1" thickBot="1">
      <c r="A39" s="113" t="s">
        <v>9</v>
      </c>
      <c r="B39" s="114"/>
      <c r="C39" s="34">
        <f ca="1">COUNTIF(AF8:AF38,"稼働日")</f>
        <v>0</v>
      </c>
      <c r="D39" s="34"/>
      <c r="E39" s="44" t="s">
        <v>10</v>
      </c>
      <c r="F39" s="10"/>
      <c r="G39" s="31" t="s">
        <v>8</v>
      </c>
      <c r="H39" s="24"/>
      <c r="I39" s="24"/>
      <c r="J39" s="32"/>
      <c r="K39" s="32">
        <f>SUM(K8:K38)</f>
        <v>0</v>
      </c>
      <c r="L39" s="32"/>
      <c r="M39" s="32">
        <f>SUM(M8:M38)</f>
        <v>0</v>
      </c>
      <c r="N39" s="32"/>
      <c r="O39" s="41">
        <f>SUM(O8:O38)</f>
        <v>0</v>
      </c>
      <c r="P39" s="115" t="s">
        <v>8</v>
      </c>
      <c r="Q39" s="116"/>
      <c r="R39" s="116"/>
      <c r="S39" s="116"/>
      <c r="T39" s="117"/>
      <c r="U39" s="33"/>
      <c r="V39" s="33"/>
      <c r="W39" s="43">
        <f>SUM(W8:W38)</f>
        <v>0</v>
      </c>
      <c r="X39" s="42">
        <f>SUM(X8:X38)</f>
        <v>0</v>
      </c>
      <c r="Y39" s="118"/>
      <c r="Z39" s="119"/>
      <c r="AA39" s="119"/>
      <c r="AB39" s="119"/>
      <c r="AC39" s="119"/>
      <c r="AD39" s="119"/>
      <c r="AE39" s="120"/>
    </row>
    <row r="40" spans="1:32">
      <c r="A40" s="11"/>
      <c r="B40" s="11"/>
      <c r="C40" s="11"/>
      <c r="D40" s="11"/>
      <c r="E40" s="12"/>
      <c r="F40" s="12"/>
      <c r="G40" s="12"/>
      <c r="H40" s="12"/>
      <c r="I40" s="12"/>
      <c r="J40" s="13"/>
      <c r="K40" s="13"/>
      <c r="L40" s="13"/>
      <c r="M40" s="13"/>
      <c r="N40" s="13"/>
      <c r="O40" s="14"/>
      <c r="P40" s="15"/>
      <c r="Q40" s="15"/>
      <c r="R40" s="15"/>
      <c r="S40" s="15"/>
      <c r="T40" s="15"/>
      <c r="U40" s="15"/>
      <c r="V40" s="15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2" ht="18" customHeight="1">
      <c r="A41" s="18" t="s">
        <v>19</v>
      </c>
      <c r="B41" s="65" t="s">
        <v>18</v>
      </c>
      <c r="C41" s="66"/>
      <c r="D41" s="66"/>
      <c r="E41" s="66"/>
      <c r="F41" s="66"/>
      <c r="G41" s="66"/>
    </row>
    <row r="42" spans="1:32" ht="18" customHeight="1">
      <c r="A42" s="18" t="s">
        <v>19</v>
      </c>
      <c r="B42" s="17" t="s">
        <v>17</v>
      </c>
    </row>
    <row r="43" spans="1:32" ht="18" customHeight="1">
      <c r="A43" s="18" t="s">
        <v>19</v>
      </c>
      <c r="B43" s="17" t="s">
        <v>21</v>
      </c>
    </row>
    <row r="44" spans="1:32" ht="18" customHeight="1">
      <c r="A44" s="18" t="s">
        <v>19</v>
      </c>
      <c r="B44" s="17" t="s">
        <v>22</v>
      </c>
    </row>
    <row r="46" spans="1:32">
      <c r="A46" s="121" t="s">
        <v>15</v>
      </c>
      <c r="B46" s="121"/>
      <c r="C46" s="16">
        <v>0.33333333333333331</v>
      </c>
    </row>
  </sheetData>
  <mergeCells count="50">
    <mergeCell ref="A39:B39"/>
    <mergeCell ref="P39:T39"/>
    <mergeCell ref="Y39:AE39"/>
    <mergeCell ref="A46:B46"/>
    <mergeCell ref="AA4:AE4"/>
    <mergeCell ref="AA3:AE3"/>
    <mergeCell ref="P3:X3"/>
    <mergeCell ref="P4:X4"/>
    <mergeCell ref="Y6:AD7"/>
    <mergeCell ref="AE6:AE7"/>
    <mergeCell ref="A4:B4"/>
    <mergeCell ref="A2:B2"/>
    <mergeCell ref="A6:B7"/>
    <mergeCell ref="C6:G6"/>
    <mergeCell ref="K6:O6"/>
    <mergeCell ref="P6:W6"/>
    <mergeCell ref="X6:X7"/>
    <mergeCell ref="AA2:AE2"/>
    <mergeCell ref="P2:X2"/>
    <mergeCell ref="Y8:AD8"/>
    <mergeCell ref="Y9:AD9"/>
    <mergeCell ref="Y10:AD10"/>
    <mergeCell ref="Y11:AD11"/>
    <mergeCell ref="Y12:AD12"/>
    <mergeCell ref="Y13:AD13"/>
    <mergeCell ref="Y14:AD14"/>
    <mergeCell ref="Y15:AD15"/>
    <mergeCell ref="Y16:AD16"/>
    <mergeCell ref="Y17:AD17"/>
    <mergeCell ref="Y18:AD18"/>
    <mergeCell ref="Y19:AD19"/>
    <mergeCell ref="Y20:AD20"/>
    <mergeCell ref="Y21:AD21"/>
    <mergeCell ref="Y22:AD22"/>
    <mergeCell ref="Y34:AD34"/>
    <mergeCell ref="Y23:AD23"/>
    <mergeCell ref="Y24:AD24"/>
    <mergeCell ref="Y25:AD25"/>
    <mergeCell ref="Y26:AD26"/>
    <mergeCell ref="Y27:AD27"/>
    <mergeCell ref="Y28:AD28"/>
    <mergeCell ref="Y35:AD35"/>
    <mergeCell ref="Y36:AD36"/>
    <mergeCell ref="Y37:AD37"/>
    <mergeCell ref="Y38:AD38"/>
    <mergeCell ref="Y29:AD29"/>
    <mergeCell ref="Y30:AD30"/>
    <mergeCell ref="Y31:AD31"/>
    <mergeCell ref="Y32:AD32"/>
    <mergeCell ref="Y33:AD33"/>
  </mergeCells>
  <phoneticPr fontId="2"/>
  <dataValidations count="1">
    <dataValidation type="decimal" operator="greaterThan" allowBlank="1" showInputMessage="1" showErrorMessage="1" sqref="T8:T38 G8 G14:G38" xr:uid="{925CC09D-537A-4A80-BFEA-547F10D455C1}">
      <formula1>0</formula1>
    </dataValidation>
  </dataValidations>
  <printOptions horizontalCentered="1" verticalCentered="1"/>
  <pageMargins left="0.39370078740157483" right="0.39370078740157483" top="0.19685039370078741" bottom="0.19685039370078741" header="0" footer="0"/>
  <pageSetup paperSize="9" scale="7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202602</vt:lpstr>
      <vt:lpstr>'202602'!Print_Area</vt:lpstr>
    </vt:vector>
  </TitlesOfParts>
  <Company>denso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恒中</dc:creator>
  <cp:lastModifiedBy>Ichwan Ramadhanil</cp:lastModifiedBy>
  <cp:lastPrinted>2025-01-24T07:28:00Z</cp:lastPrinted>
  <dcterms:created xsi:type="dcterms:W3CDTF">2012-09-28T05:31:49Z</dcterms:created>
  <dcterms:modified xsi:type="dcterms:W3CDTF">2026-06-16T16:44:27Z</dcterms:modified>
</cp:coreProperties>
</file>